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timelines/timeline1.xml" ContentType="application/vnd.ms-excel.timelin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Cadd Mentor\Student_Class_Code\Jazaul_Hasan_Data_Anylytics\"/>
    </mc:Choice>
  </mc:AlternateContent>
  <xr:revisionPtr revIDLastSave="0" documentId="13_ncr:1_{93E71ACB-4A51-429F-AE33-29B0434DA468}" xr6:coauthVersionLast="36" xr6:coauthVersionMax="36" xr10:uidLastSave="{00000000-0000-0000-0000-000000000000}"/>
  <bookViews>
    <workbookView xWindow="0" yWindow="0" windowWidth="22260" windowHeight="12648" firstSheet="4" activeTab="12" xr2:uid="{00000000-000D-0000-FFFF-FFFF00000000}"/>
  </bookViews>
  <sheets>
    <sheet name="Practice Date Formule" sheetId="1" r:id="rId1"/>
    <sheet name="Sheet3" sheetId="5" r:id="rId2"/>
    <sheet name="Some Advance Maths" sheetId="2" r:id="rId3"/>
    <sheet name="Sheet4" sheetId="6" r:id="rId4"/>
    <sheet name="Sheet1" sheetId="10" r:id="rId5"/>
    <sheet name="Scenario Summary" sheetId="12" r:id="rId6"/>
    <sheet name="Scenario Summary 2" sheetId="13" r:id="rId7"/>
    <sheet name="Sheet2" sheetId="11" r:id="rId8"/>
    <sheet name="Sheet8" sheetId="15" r:id="rId9"/>
    <sheet name="Sheet9" sheetId="16" r:id="rId10"/>
    <sheet name="Sheet5" sheetId="7" r:id="rId11"/>
    <sheet name="Sheet7" sheetId="14" r:id="rId12"/>
    <sheet name="Sheet10" sheetId="17" r:id="rId13"/>
    <sheet name="Sheet6" sheetId="8" r:id="rId14"/>
  </sheets>
  <definedNames>
    <definedName name="NativeTimeline_OrderDate">#N/A</definedName>
    <definedName name="Total_Profit">Sheet2!$F$14</definedName>
    <definedName name="Unit_Sales">Sheet2!$F$7</definedName>
  </definedNames>
  <calcPr calcId="191029"/>
  <pivotCaches>
    <pivotCache cacheId="0" r:id="rId15"/>
    <pivotCache cacheId="4" r:id="rId16"/>
    <pivotCache cacheId="2" r:id="rId17"/>
    <pivotCache cacheId="3" r:id="rId18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19"/>
      </x15:timelineCacheRefs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7" i="2" l="1"/>
  <c r="F47" i="2"/>
  <c r="E47" i="2"/>
  <c r="G40" i="2"/>
  <c r="F40" i="2"/>
  <c r="E40" i="2"/>
  <c r="G26" i="2"/>
  <c r="G48" i="2" s="1"/>
  <c r="F26" i="2"/>
  <c r="F48" i="2" s="1"/>
  <c r="E26" i="2"/>
  <c r="E48" i="2" s="1"/>
  <c r="F12" i="11"/>
  <c r="F13" i="11" s="1"/>
  <c r="F14" i="11" s="1"/>
  <c r="B5" i="11"/>
  <c r="I6" i="10"/>
  <c r="G5" i="10"/>
  <c r="D9" i="10"/>
  <c r="I7" i="6" l="1"/>
  <c r="F4" i="6"/>
  <c r="C8" i="6"/>
  <c r="Q12" i="2" l="1"/>
  <c r="Q10" i="2"/>
  <c r="B5" i="1" l="1"/>
  <c r="B2" i="1"/>
  <c r="D2" i="1" s="1"/>
  <c r="A2" i="1"/>
  <c r="I2" i="1" s="1"/>
  <c r="I4" i="1" l="1"/>
  <c r="G2" i="1"/>
  <c r="H2" i="1"/>
  <c r="F2" i="1"/>
  <c r="E2" i="1"/>
  <c r="C2" i="1"/>
</calcChain>
</file>

<file path=xl/sharedStrings.xml><?xml version="1.0" encoding="utf-8"?>
<sst xmlns="http://schemas.openxmlformats.org/spreadsheetml/2006/main" count="558" uniqueCount="78">
  <si>
    <t>Today</t>
  </si>
  <si>
    <t>Now</t>
  </si>
  <si>
    <t>Year</t>
  </si>
  <si>
    <t>Month</t>
  </si>
  <si>
    <t>Day</t>
  </si>
  <si>
    <t>Hours</t>
  </si>
  <si>
    <t>Mins</t>
  </si>
  <si>
    <t>Seconds</t>
  </si>
  <si>
    <t>Date+5</t>
  </si>
  <si>
    <t>Months+2</t>
  </si>
  <si>
    <t>Years+6</t>
  </si>
  <si>
    <t>OrderDate</t>
  </si>
  <si>
    <t>Region</t>
  </si>
  <si>
    <t>Manager</t>
  </si>
  <si>
    <t>SalesMan</t>
  </si>
  <si>
    <t>Item</t>
  </si>
  <si>
    <t>Units</t>
  </si>
  <si>
    <t>Unit_price</t>
  </si>
  <si>
    <t>Sale_amt</t>
  </si>
  <si>
    <t>Payment Type</t>
  </si>
  <si>
    <t>Central</t>
  </si>
  <si>
    <t>Timothy</t>
  </si>
  <si>
    <t>David</t>
  </si>
  <si>
    <t>Cell Phone</t>
  </si>
  <si>
    <t>NET BANKING</t>
  </si>
  <si>
    <t>West</t>
  </si>
  <si>
    <t>Stephen</t>
  </si>
  <si>
    <t>East</t>
  </si>
  <si>
    <t>Martha</t>
  </si>
  <si>
    <t>Diana</t>
  </si>
  <si>
    <t>CASH</t>
  </si>
  <si>
    <t>Douglas</t>
  </si>
  <si>
    <t>Karen</t>
  </si>
  <si>
    <t>DEBIT CARD</t>
  </si>
  <si>
    <t>Alexander</t>
  </si>
  <si>
    <t>Hermann</t>
  </si>
  <si>
    <t>Shelli</t>
  </si>
  <si>
    <t>Desk</t>
  </si>
  <si>
    <t>John</t>
  </si>
  <si>
    <t>Home Theater</t>
  </si>
  <si>
    <t>Sigal</t>
  </si>
  <si>
    <t>Luis</t>
  </si>
  <si>
    <t>Steven</t>
  </si>
  <si>
    <t>UPI</t>
  </si>
  <si>
    <t>Michael</t>
  </si>
  <si>
    <t>Television</t>
  </si>
  <si>
    <t>Video Games</t>
  </si>
  <si>
    <t>Row Labels</t>
  </si>
  <si>
    <t>Grand Total</t>
  </si>
  <si>
    <t>Sum of Sale_amt</t>
  </si>
  <si>
    <t>Max of Units</t>
  </si>
  <si>
    <t>Sales Unit</t>
  </si>
  <si>
    <t>Unit Price</t>
  </si>
  <si>
    <t>Amount</t>
  </si>
  <si>
    <t>Profit Per Unit</t>
  </si>
  <si>
    <t>Profit</t>
  </si>
  <si>
    <t>Without Profit</t>
  </si>
  <si>
    <t>Total Amount</t>
  </si>
  <si>
    <t>$F$7</t>
  </si>
  <si>
    <t>$F$14</t>
  </si>
  <si>
    <t>Sales1</t>
  </si>
  <si>
    <t>Created by pc on 23-01-2026</t>
  </si>
  <si>
    <t>Sales2</t>
  </si>
  <si>
    <t>Sales3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</si>
  <si>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</si>
  <si>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</si>
  <si>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</si>
  <si>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</si>
  <si>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</si>
  <si>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</si>
  <si>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</si>
  <si>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Unit_Sales</t>
  </si>
  <si>
    <t>Total_Profit</t>
  </si>
  <si>
    <t>Central Total</t>
  </si>
  <si>
    <t>East Total</t>
  </si>
  <si>
    <t>West Total</t>
  </si>
  <si>
    <t>Sum of Unit_price</t>
  </si>
  <si>
    <t>Sum of 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</si>
</sst>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[$₹-4009]\ * #,##0.00_ ;_ [$₹-4009]\ * \-#,##0.00_ ;_ [$₹-4009]\ * &quot;-&quot;??_ ;_ @_ 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sz val="12"/>
      <name val="Arial Narrow"/>
      <family val="2"/>
    </font>
    <font>
      <b/>
      <sz val="12"/>
      <color indexed="9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indexed="18"/>
      <name val="Calibri"/>
      <family val="2"/>
      <scheme val="minor"/>
    </font>
    <font>
      <sz val="10"/>
      <color indexed="9"/>
      <name val="Calibri"/>
      <family val="2"/>
      <scheme val="minor"/>
    </font>
    <font>
      <sz val="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</fills>
  <borders count="15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/>
    <xf numFmtId="0" fontId="2" fillId="0" borderId="0"/>
    <xf numFmtId="43" fontId="4" fillId="0" borderId="0" applyFont="0" applyFill="0" applyBorder="0" applyAlignment="0" applyProtection="0"/>
  </cellStyleXfs>
  <cellXfs count="60">
    <xf numFmtId="0" fontId="0" fillId="0" borderId="0" xfId="0"/>
    <xf numFmtId="0" fontId="0" fillId="2" borderId="0" xfId="0" applyFill="1"/>
    <xf numFmtId="0" fontId="0" fillId="4" borderId="1" xfId="0" applyFont="1" applyFill="1" applyBorder="1"/>
    <xf numFmtId="0" fontId="0" fillId="0" borderId="1" xfId="0" applyFont="1" applyBorder="1"/>
    <xf numFmtId="14" fontId="0" fillId="0" borderId="0" xfId="0" applyNumberFormat="1"/>
    <xf numFmtId="22" fontId="0" fillId="0" borderId="0" xfId="0" applyNumberFormat="1"/>
    <xf numFmtId="43" fontId="1" fillId="3" borderId="3" xfId="2" applyNumberFormat="1" applyFont="1" applyFill="1" applyBorder="1" applyAlignment="1">
      <alignment horizontal="left" vertical="center"/>
    </xf>
    <xf numFmtId="0" fontId="0" fillId="4" borderId="3" xfId="0" applyFont="1" applyFill="1" applyBorder="1"/>
    <xf numFmtId="0" fontId="0" fillId="4" borderId="4" xfId="0" applyFont="1" applyFill="1" applyBorder="1"/>
    <xf numFmtId="0" fontId="0" fillId="0" borderId="3" xfId="0" applyFont="1" applyBorder="1"/>
    <xf numFmtId="0" fontId="0" fillId="0" borderId="4" xfId="0" applyFont="1" applyBorder="1"/>
    <xf numFmtId="14" fontId="0" fillId="4" borderId="2" xfId="0" applyNumberFormat="1" applyFont="1" applyFill="1" applyBorder="1"/>
    <xf numFmtId="14" fontId="0" fillId="0" borderId="2" xfId="0" applyNumberFormat="1" applyFon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0" borderId="0" xfId="0" pivotButton="1" applyAlignment="1">
      <alignment horizontal="left"/>
    </xf>
    <xf numFmtId="0" fontId="0" fillId="0" borderId="0" xfId="0" pivotButton="1" applyNumberFormat="1"/>
    <xf numFmtId="10" fontId="0" fillId="0" borderId="0" xfId="0" pivotButton="1" applyNumberFormat="1"/>
    <xf numFmtId="0" fontId="3" fillId="3" borderId="2" xfId="1" applyNumberFormat="1" applyFont="1" applyFill="1" applyBorder="1" applyAlignment="1"/>
    <xf numFmtId="0" fontId="3" fillId="3" borderId="3" xfId="1" applyNumberFormat="1" applyFont="1" applyFill="1" applyBorder="1" applyAlignment="1"/>
    <xf numFmtId="0" fontId="3" fillId="3" borderId="4" xfId="1" applyNumberFormat="1" applyFont="1" applyFill="1" applyBorder="1" applyAlignment="1"/>
    <xf numFmtId="0" fontId="0" fillId="5" borderId="5" xfId="0" applyFill="1" applyBorder="1"/>
    <xf numFmtId="14" fontId="0" fillId="4" borderId="3" xfId="0" applyNumberFormat="1" applyFont="1" applyFill="1" applyBorder="1"/>
    <xf numFmtId="14" fontId="0" fillId="0" borderId="3" xfId="0" applyNumberFormat="1" applyFont="1" applyBorder="1"/>
    <xf numFmtId="0" fontId="3" fillId="3" borderId="7" xfId="1" applyNumberFormat="1" applyFont="1" applyFill="1" applyBorder="1" applyAlignment="1"/>
    <xf numFmtId="43" fontId="1" fillId="3" borderId="7" xfId="2" applyNumberFormat="1" applyFont="1" applyFill="1" applyBorder="1" applyAlignment="1">
      <alignment horizontal="left" vertical="center"/>
    </xf>
    <xf numFmtId="0" fontId="3" fillId="3" borderId="8" xfId="1" applyNumberFormat="1" applyFont="1" applyFill="1" applyBorder="1" applyAlignment="1"/>
    <xf numFmtId="164" fontId="0" fillId="5" borderId="5" xfId="0" applyNumberFormat="1" applyFill="1" applyBorder="1"/>
    <xf numFmtId="1" fontId="0" fillId="5" borderId="5" xfId="0" applyNumberFormat="1" applyFill="1" applyBorder="1"/>
    <xf numFmtId="0" fontId="0" fillId="5" borderId="9" xfId="0" applyFill="1" applyBorder="1"/>
    <xf numFmtId="0" fontId="0" fillId="0" borderId="0" xfId="0" applyFill="1" applyBorder="1" applyAlignment="1"/>
    <xf numFmtId="1" fontId="0" fillId="0" borderId="0" xfId="0" applyNumberFormat="1" applyFill="1" applyBorder="1" applyAlignment="1"/>
    <xf numFmtId="164" fontId="0" fillId="0" borderId="11" xfId="0" applyNumberFormat="1" applyFill="1" applyBorder="1" applyAlignment="1"/>
    <xf numFmtId="0" fontId="5" fillId="6" borderId="12" xfId="0" applyFont="1" applyFill="1" applyBorder="1" applyAlignment="1">
      <alignment horizontal="left"/>
    </xf>
    <xf numFmtId="0" fontId="5" fillId="6" borderId="10" xfId="0" applyFont="1" applyFill="1" applyBorder="1" applyAlignment="1">
      <alignment horizontal="left"/>
    </xf>
    <xf numFmtId="0" fontId="0" fillId="0" borderId="13" xfId="0" applyFill="1" applyBorder="1" applyAlignment="1"/>
    <xf numFmtId="0" fontId="6" fillId="7" borderId="0" xfId="0" applyFont="1" applyFill="1" applyBorder="1" applyAlignment="1">
      <alignment horizontal="left"/>
    </xf>
    <xf numFmtId="0" fontId="7" fillId="7" borderId="13" xfId="0" applyFont="1" applyFill="1" applyBorder="1" applyAlignment="1">
      <alignment horizontal="left"/>
    </xf>
    <xf numFmtId="0" fontId="6" fillId="7" borderId="11" xfId="0" applyFont="1" applyFill="1" applyBorder="1" applyAlignment="1">
      <alignment horizontal="left"/>
    </xf>
    <xf numFmtId="0" fontId="8" fillId="6" borderId="10" xfId="0" applyFont="1" applyFill="1" applyBorder="1" applyAlignment="1">
      <alignment horizontal="right"/>
    </xf>
    <xf numFmtId="0" fontId="8" fillId="6" borderId="12" xfId="0" applyFont="1" applyFill="1" applyBorder="1" applyAlignment="1">
      <alignment horizontal="right"/>
    </xf>
    <xf numFmtId="1" fontId="0" fillId="8" borderId="0" xfId="0" applyNumberFormat="1" applyFill="1" applyBorder="1" applyAlignment="1"/>
    <xf numFmtId="0" fontId="9" fillId="0" borderId="0" xfId="0" applyFont="1" applyFill="1" applyBorder="1" applyAlignment="1">
      <alignment vertical="top" wrapText="1"/>
    </xf>
    <xf numFmtId="0" fontId="0" fillId="4" borderId="2" xfId="0" applyFont="1" applyFill="1" applyBorder="1"/>
    <xf numFmtId="0" fontId="3" fillId="3" borderId="6" xfId="1" applyNumberFormat="1" applyFont="1" applyFill="1" applyBorder="1" applyAlignment="1"/>
    <xf numFmtId="0" fontId="3" fillId="3" borderId="1" xfId="1" applyNumberFormat="1" applyFont="1" applyFill="1" applyBorder="1" applyAlignment="1"/>
    <xf numFmtId="43" fontId="1" fillId="3" borderId="1" xfId="2" applyNumberFormat="1" applyFont="1" applyFill="1" applyBorder="1" applyAlignment="1">
      <alignment horizontal="left" vertical="center"/>
    </xf>
    <xf numFmtId="0" fontId="3" fillId="3" borderId="14" xfId="1" applyNumberFormat="1" applyFont="1" applyFill="1" applyBorder="1" applyAlignment="1"/>
    <xf numFmtId="0" fontId="0" fillId="4" borderId="6" xfId="0" applyFont="1" applyFill="1" applyBorder="1"/>
    <xf numFmtId="0" fontId="0" fillId="4" borderId="14" xfId="0" applyFont="1" applyFill="1" applyBorder="1"/>
    <xf numFmtId="0" fontId="0" fillId="0" borderId="6" xfId="0" applyFont="1" applyBorder="1"/>
    <xf numFmtId="0" fontId="0" fillId="0" borderId="14" xfId="0" applyFont="1" applyBorder="1"/>
    <xf numFmtId="0" fontId="0" fillId="4" borderId="0" xfId="0" applyFont="1" applyFill="1" applyBorder="1"/>
    <xf numFmtId="0" fontId="1" fillId="4" borderId="6" xfId="0" applyFont="1" applyFill="1" applyBorder="1"/>
    <xf numFmtId="0" fontId="1" fillId="4" borderId="0" xfId="0" applyFont="1" applyFill="1" applyBorder="1"/>
    <xf numFmtId="0" fontId="1" fillId="4" borderId="1" xfId="0" applyFont="1" applyFill="1" applyBorder="1"/>
    <xf numFmtId="14" fontId="0" fillId="0" borderId="1" xfId="0" applyNumberFormat="1" applyFont="1" applyBorder="1"/>
    <xf numFmtId="14" fontId="0" fillId="0" borderId="0" xfId="0" applyNumberFormat="1" applyAlignment="1">
      <alignment horizontal="left" indent="1"/>
    </xf>
  </cellXfs>
  <cellStyles count="3">
    <cellStyle name="Comma 2" xfId="2" xr:uid="{8E94604C-1601-4341-B1AB-C1477B696093}"/>
    <cellStyle name="Normal" xfId="0" builtinId="0"/>
    <cellStyle name="Normal 2" xfId="1" xr:uid="{33EE3055-F96F-42A2-BC68-7FC7D5BD15B3}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"/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solid">
          <fgColor theme="4"/>
          <bgColor theme="4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2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microsoft.com/office/2011/relationships/timelineCache" Target="timelineCaches/timelineCach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52753</xdr:colOff>
      <xdr:row>3</xdr:row>
      <xdr:rowOff>56857</xdr:rowOff>
    </xdr:from>
    <xdr:to>
      <xdr:col>8</xdr:col>
      <xdr:colOff>442546</xdr:colOff>
      <xdr:row>12</xdr:row>
      <xdr:rowOff>158262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2" name="OrderDate">
              <a:extLst>
                <a:ext uri="{FF2B5EF4-FFF2-40B4-BE49-F238E27FC236}">
                  <a16:creationId xmlns:a16="http://schemas.microsoft.com/office/drawing/2014/main" id="{4B1CDC81-8228-4E78-878A-EDFEB1D88A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Order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73215" y="601980"/>
              <a:ext cx="3437793" cy="17367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Timeline: Works in Excel 2013 or higher. Do not move or resize.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All%20Practice%20More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44.426864004628" createdVersion="6" refreshedVersion="6" minRefreshableVersion="3" recordCount="43" xr:uid="{DB653F5C-2A71-4A95-9329-485E4E9921FE}">
  <cacheSource type="worksheet">
    <worksheetSource ref="A1:H46" sheet="Some Advance Maths" r:id="rId2"/>
  </cacheSource>
  <cacheFields count="10">
    <cacheField name="OrderDate" numFmtId="14">
      <sharedItems containsSemiMixedTypes="0" containsNonDate="0" containsDate="1" containsString="0" minDate="2018-01-06T00:00:00" maxDate="2019-12-22T00:00:00"/>
    </cacheField>
    <cacheField name="Region" numFmtId="0">
      <sharedItems/>
    </cacheField>
    <cacheField name="Manager" numFmtId="0">
      <sharedItems count="4">
        <s v="Martha"/>
        <s v="Hermann"/>
        <s v="Timothy"/>
        <s v="Douglas"/>
      </sharedItems>
    </cacheField>
    <cacheField name="SalesMan" numFmtId="0">
      <sharedItems/>
    </cacheField>
    <cacheField name="Item" numFmtId="0">
      <sharedItems/>
    </cacheField>
    <cacheField name="Units" numFmtId="0">
      <sharedItems containsSemiMixedTypes="0" containsString="0" containsNumber="1" containsInteger="1" minValue="2" maxValue="96"/>
    </cacheField>
    <cacheField name="Unit_price" numFmtId="0">
      <sharedItems containsSemiMixedTypes="0" containsString="0" containsNumber="1" minValue="58.5" maxValue="1198"/>
    </cacheField>
    <cacheField name="Sale_amt" numFmtId="0">
      <sharedItems containsSemiMixedTypes="0" containsString="0" containsNumber="1" minValue="250" maxValue="113810"/>
    </cacheField>
    <cacheField name="Payment Type" numFmtId="0">
      <sharedItems/>
    </cacheField>
    <cacheField name="Total sales" numFmtId="0" formula="Item*Units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49.479315509256" createdVersion="6" refreshedVersion="6" minRefreshableVersion="3" recordCount="11" xr:uid="{F7E7FFFA-A372-472F-A90F-749A9634A4C3}">
  <cacheSource type="worksheet">
    <worksheetSource ref="A1:I12" sheet="Sheet6"/>
  </cacheSource>
  <cacheFields count="9">
    <cacheField name="OrderDate" numFmtId="14">
      <sharedItems containsSemiMixedTypes="0" containsNonDate="0" containsDate="1" containsString="0" minDate="2018-01-06T00:00:00" maxDate="2019-08-25T00:00:00"/>
    </cacheField>
    <cacheField name="Region" numFmtId="0">
      <sharedItems count="3">
        <s v="East"/>
        <s v="Central"/>
        <s v="West"/>
      </sharedItems>
    </cacheField>
    <cacheField name="Manager" numFmtId="0">
      <sharedItems/>
    </cacheField>
    <cacheField name="SalesMan" numFmtId="0">
      <sharedItems count="8">
        <s v="Alexander"/>
        <s v="Luis"/>
        <s v="David"/>
        <s v="Stephen"/>
        <s v="Steven"/>
        <s v="John"/>
        <s v="Shelli"/>
        <s v="Sigal"/>
      </sharedItems>
    </cacheField>
    <cacheField name="Item" numFmtId="0">
      <sharedItems/>
    </cacheField>
    <cacheField name="Units" numFmtId="0">
      <sharedItems containsSemiMixedTypes="0" containsString="0" containsNumber="1" containsInteger="1" minValue="2" maxValue="95"/>
    </cacheField>
    <cacheField name="Unit_price" numFmtId="0">
      <sharedItems containsSemiMixedTypes="0" containsString="0" containsNumber="1" containsInteger="1" minValue="125" maxValue="1198"/>
    </cacheField>
    <cacheField name="Sale_amt" numFmtId="0">
      <sharedItems containsSemiMixedTypes="0" containsString="0" containsNumber="1" containsInteger="1" minValue="250" maxValue="113810"/>
    </cacheField>
    <cacheField name="Payment Type" numFmtId="0">
      <sharedItems count="4">
        <s v="UPI"/>
        <s v="DEBIT CARD"/>
        <s v="NET BANKING"/>
        <s v="CASH"/>
      </sharedItems>
    </cacheField>
  </cacheFields>
  <extLst>
    <ext xmlns:x14="http://schemas.microsoft.com/office/spreadsheetml/2009/9/main" uri="{725AE2AE-9491-48be-B2B4-4EB974FC3084}">
      <x14:pivotCacheDefinition pivotCacheId="1561145932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49.497821527781" createdVersion="6" refreshedVersion="6" minRefreshableVersion="3" recordCount="23" xr:uid="{3CE9168D-CD7B-43EA-A1CD-6F7E934C206A}">
  <cacheSource type="worksheet">
    <worksheetSource name="Table1"/>
  </cacheSource>
  <cacheFields count="9">
    <cacheField name="OrderDate" numFmtId="14">
      <sharedItems containsSemiMixedTypes="0" containsNonDate="0" containsDate="1" containsString="0" minDate="2018-01-06T00:00:00" maxDate="2019-12-05T00:00:00" count="23">
        <d v="2018-01-06T00:00:00"/>
        <d v="2018-01-23T00:00:00"/>
        <d v="2018-02-09T00:00:00"/>
        <d v="2018-02-26T00:00:00"/>
        <d v="2018-03-15T00:00:00"/>
        <d v="2018-04-01T00:00:00"/>
        <d v="2018-04-18T00:00:00"/>
        <d v="2018-05-05T00:00:00"/>
        <d v="2018-05-22T00:00:00"/>
        <d v="2018-06-08T00:00:00"/>
        <d v="2018-06-25T00:00:00"/>
        <d v="2018-07-12T00:00:00"/>
        <d v="2018-07-29T00:00:00"/>
        <d v="2018-08-15T00:00:00"/>
        <d v="2018-09-01T00:00:00"/>
        <d v="2018-10-05T00:00:00"/>
        <d v="2018-10-22T00:00:00"/>
        <d v="2018-11-08T00:00:00"/>
        <d v="2018-11-25T00:00:00"/>
        <d v="2019-02-18T00:00:00"/>
        <d v="2019-05-31T00:00:00"/>
        <d v="2019-08-24T00:00:00"/>
        <d v="2019-12-04T00:00:00"/>
      </sharedItems>
    </cacheField>
    <cacheField name="Region" numFmtId="0">
      <sharedItems count="3">
        <s v="East"/>
        <s v="Central"/>
        <s v="West"/>
      </sharedItems>
    </cacheField>
    <cacheField name="Manager" numFmtId="0">
      <sharedItems/>
    </cacheField>
    <cacheField name="SalesMan" numFmtId="0">
      <sharedItems/>
    </cacheField>
    <cacheField name="Item" numFmtId="0">
      <sharedItems/>
    </cacheField>
    <cacheField name="Units" numFmtId="0">
      <sharedItems containsSemiMixedTypes="0" containsString="0" containsNumber="1" containsInteger="1" minValue="2" maxValue="96"/>
    </cacheField>
    <cacheField name="Unit_price" numFmtId="0">
      <sharedItems containsSemiMixedTypes="0" containsString="0" containsNumber="1" minValue="58.5" maxValue="1198"/>
    </cacheField>
    <cacheField name="Sale_amt" numFmtId="0">
      <sharedItems containsSemiMixedTypes="0" containsString="0" containsNumber="1" containsInteger="1" minValue="250" maxValue="113810"/>
    </cacheField>
    <cacheField name="Payment Type" numFmtId="0">
      <sharedItems/>
    </cacheField>
  </cacheFields>
  <extLst>
    <ext xmlns:x14="http://schemas.microsoft.com/office/spreadsheetml/2009/9/main" uri="{725AE2AE-9491-48be-B2B4-4EB974FC3084}">
      <x14:pivotCacheDefinition pivotCacheId="512600103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049.500301736109" createdVersion="6" refreshedVersion="6" minRefreshableVersion="3" recordCount="23" xr:uid="{87BF1CDE-BF3B-4A5F-8DB4-57765477CF48}">
  <cacheSource type="worksheet">
    <worksheetSource name="Table1"/>
  </cacheSource>
  <cacheFields count="9">
    <cacheField name="OrderDate" numFmtId="14">
      <sharedItems containsSemiMixedTypes="0" containsNonDate="0" containsDate="1" containsString="0" minDate="2018-01-06T00:00:00" maxDate="2019-12-05T00:00:00" count="23">
        <d v="2018-01-06T00:00:00"/>
        <d v="2018-01-23T00:00:00"/>
        <d v="2018-02-09T00:00:00"/>
        <d v="2018-02-26T00:00:00"/>
        <d v="2018-03-15T00:00:00"/>
        <d v="2018-04-01T00:00:00"/>
        <d v="2018-04-18T00:00:00"/>
        <d v="2018-05-05T00:00:00"/>
        <d v="2018-05-22T00:00:00"/>
        <d v="2018-06-08T00:00:00"/>
        <d v="2018-06-25T00:00:00"/>
        <d v="2018-07-12T00:00:00"/>
        <d v="2018-07-29T00:00:00"/>
        <d v="2018-08-15T00:00:00"/>
        <d v="2018-09-01T00:00:00"/>
        <d v="2018-10-05T00:00:00"/>
        <d v="2018-10-22T00:00:00"/>
        <d v="2018-11-08T00:00:00"/>
        <d v="2018-11-25T00:00:00"/>
        <d v="2019-02-18T00:00:00"/>
        <d v="2019-05-31T00:00:00"/>
        <d v="2019-08-24T00:00:00"/>
        <d v="2019-12-04T00:00:00"/>
      </sharedItems>
    </cacheField>
    <cacheField name="Region" numFmtId="0">
      <sharedItems/>
    </cacheField>
    <cacheField name="Manager" numFmtId="0">
      <sharedItems count="4">
        <s v="Martha"/>
        <s v="Hermann"/>
        <s v="Timothy"/>
        <s v="Douglas"/>
      </sharedItems>
    </cacheField>
    <cacheField name="SalesMan" numFmtId="0">
      <sharedItems/>
    </cacheField>
    <cacheField name="Item" numFmtId="0">
      <sharedItems/>
    </cacheField>
    <cacheField name="Units" numFmtId="0">
      <sharedItems containsSemiMixedTypes="0" containsString="0" containsNumber="1" containsInteger="1" minValue="2" maxValue="96"/>
    </cacheField>
    <cacheField name="Unit_price" numFmtId="0">
      <sharedItems containsSemiMixedTypes="0" containsString="0" containsNumber="1" minValue="58.5" maxValue="1198"/>
    </cacheField>
    <cacheField name="Sale_amt" numFmtId="0">
      <sharedItems containsSemiMixedTypes="0" containsString="0" containsNumber="1" containsInteger="1" minValue="250" maxValue="113810"/>
    </cacheField>
    <cacheField name="Payment Typ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d v="2018-01-06T00:00:00"/>
    <s v="East"/>
    <x v="0"/>
    <s v="Alexander"/>
    <s v="Television"/>
    <n v="95"/>
    <n v="1198"/>
    <n v="113810"/>
    <s v="UPI"/>
  </r>
  <r>
    <d v="2018-02-09T00:00:00"/>
    <s v="Central"/>
    <x v="1"/>
    <s v="Luis"/>
    <s v="Television"/>
    <n v="36"/>
    <n v="1198"/>
    <n v="43128"/>
    <s v="DEBIT CARD"/>
  </r>
  <r>
    <d v="2018-02-26T00:00:00"/>
    <s v="Central"/>
    <x v="2"/>
    <s v="David"/>
    <s v="Cell Phone"/>
    <n v="27"/>
    <n v="225"/>
    <n v="6075"/>
    <s v="NET BANKING"/>
  </r>
  <r>
    <d v="2018-03-15T00:00:00"/>
    <s v="West"/>
    <x v="2"/>
    <s v="Stephen"/>
    <s v="Television"/>
    <n v="56"/>
    <n v="1198"/>
    <n v="67088"/>
    <s v="UPI"/>
  </r>
  <r>
    <d v="2018-04-18T00:00:00"/>
    <s v="Central"/>
    <x v="0"/>
    <s v="Steven"/>
    <s v="Television"/>
    <n v="75"/>
    <n v="1198"/>
    <n v="89850"/>
    <s v="DEBIT CARD"/>
  </r>
  <r>
    <d v="2018-05-05T00:00:00"/>
    <s v="Central"/>
    <x v="1"/>
    <s v="Luis"/>
    <s v="Television"/>
    <n v="90"/>
    <n v="1198"/>
    <n v="107820"/>
    <s v="UPI"/>
  </r>
  <r>
    <d v="2018-09-01T00:00:00"/>
    <s v="Central"/>
    <x v="3"/>
    <s v="John"/>
    <s v="Desk"/>
    <n v="2"/>
    <n v="125"/>
    <n v="250"/>
    <s v="NET BANKING"/>
  </r>
  <r>
    <d v="2019-08-24T00:00:00"/>
    <s v="West"/>
    <x v="2"/>
    <s v="Stephen"/>
    <s v="Desk"/>
    <n v="3"/>
    <n v="125"/>
    <n v="375"/>
    <s v="CASH"/>
  </r>
  <r>
    <d v="2018-01-23T00:00:00"/>
    <s v="Central"/>
    <x v="1"/>
    <s v="Shelli"/>
    <s v="Home Theater"/>
    <n v="50"/>
    <n v="500"/>
    <n v="25000"/>
    <s v="CASH"/>
  </r>
  <r>
    <d v="2018-10-05T00:00:00"/>
    <s v="Central"/>
    <x v="1"/>
    <s v="Sigal"/>
    <s v="Home Theater"/>
    <n v="28"/>
    <n v="500"/>
    <n v="14000"/>
    <s v="CASH"/>
  </r>
  <r>
    <d v="2019-05-31T00:00:00"/>
    <s v="Central"/>
    <x v="2"/>
    <s v="David"/>
    <s v="Home Theater"/>
    <n v="80"/>
    <n v="500"/>
    <n v="40000"/>
    <s v="CASH"/>
  </r>
  <r>
    <d v="2019-12-04T00:00:00"/>
    <s v="Central"/>
    <x v="1"/>
    <s v="Luis"/>
    <s v="Home Theater"/>
    <n v="94"/>
    <n v="500"/>
    <n v="47000"/>
    <s v="CASH"/>
  </r>
  <r>
    <d v="2018-05-22T00:00:00"/>
    <s v="West"/>
    <x v="3"/>
    <s v="Michael"/>
    <s v="Television"/>
    <n v="32"/>
    <n v="1198"/>
    <n v="38336"/>
    <s v="CASH"/>
  </r>
  <r>
    <d v="2018-06-25T00:00:00"/>
    <s v="Central"/>
    <x v="1"/>
    <s v="Sigal"/>
    <s v="Television"/>
    <n v="90"/>
    <n v="1198"/>
    <n v="107820"/>
    <s v="CASH"/>
  </r>
  <r>
    <d v="2018-08-15T00:00:00"/>
    <s v="East"/>
    <x v="0"/>
    <s v="Alexander"/>
    <s v="Television"/>
    <n v="35"/>
    <n v="1198"/>
    <n v="41930"/>
    <s v="DEBIT CARD"/>
  </r>
  <r>
    <d v="2018-09-18T00:00:00"/>
    <s v="East"/>
    <x v="0"/>
    <s v="Alexander"/>
    <s v="Video Games"/>
    <n v="16"/>
    <n v="58.5"/>
    <n v="936"/>
    <s v="UPI"/>
  </r>
  <r>
    <d v="2018-10-22T00:00:00"/>
    <s v="East"/>
    <x v="0"/>
    <s v="Alexander"/>
    <s v="Cell Phone"/>
    <n v="64"/>
    <n v="225"/>
    <n v="14400"/>
    <s v="NET BANKING"/>
  </r>
  <r>
    <d v="2018-11-08T00:00:00"/>
    <s v="East"/>
    <x v="3"/>
    <s v="Karen"/>
    <s v="Cell Phone"/>
    <n v="15"/>
    <n v="225"/>
    <n v="3375"/>
    <s v="DEBIT CARD"/>
  </r>
  <r>
    <d v="2018-04-01T00:00:00"/>
    <s v="East"/>
    <x v="0"/>
    <s v="Alexander"/>
    <s v="Home Theater"/>
    <n v="60"/>
    <n v="500"/>
    <n v="30000"/>
    <s v="CASH"/>
  </r>
  <r>
    <d v="2019-02-18T00:00:00"/>
    <s v="East"/>
    <x v="0"/>
    <s v="Alexander"/>
    <s v="Home Theater"/>
    <n v="4"/>
    <n v="500"/>
    <n v="2000"/>
    <s v="CASH"/>
  </r>
  <r>
    <d v="2018-07-12T00:00:00"/>
    <s v="East"/>
    <x v="0"/>
    <s v="Diana"/>
    <s v="Home Theater"/>
    <n v="29"/>
    <n v="500"/>
    <n v="14500"/>
    <s v="DEBIT CARD"/>
  </r>
  <r>
    <d v="2018-07-29T00:00:00"/>
    <s v="East"/>
    <x v="3"/>
    <s v="Karen"/>
    <s v="Home Theater"/>
    <n v="81"/>
    <n v="500"/>
    <n v="40500"/>
    <s v="NET BANKING"/>
  </r>
  <r>
    <d v="2018-06-08T00:00:00"/>
    <s v="East"/>
    <x v="0"/>
    <s v="Alexander"/>
    <s v="Home Theater"/>
    <n v="60"/>
    <n v="500"/>
    <n v="30000"/>
    <s v="UPI"/>
  </r>
  <r>
    <d v="2018-11-25T00:00:00"/>
    <s v="Central"/>
    <x v="1"/>
    <s v="Shelli"/>
    <s v="Video Games"/>
    <n v="96"/>
    <n v="58.5"/>
    <n v="5616"/>
    <s v="NET BANKING"/>
  </r>
  <r>
    <d v="2018-12-12T00:00:00"/>
    <s v="Central"/>
    <x v="3"/>
    <s v="John"/>
    <s v="Television"/>
    <n v="67"/>
    <n v="1198"/>
    <n v="80266"/>
    <s v="DEBIT CARD"/>
  </r>
  <r>
    <d v="2018-12-29T00:00:00"/>
    <s v="East"/>
    <x v="3"/>
    <s v="Karen"/>
    <s v="Video Games"/>
    <n v="74"/>
    <n v="58.5"/>
    <n v="4329"/>
    <s v="DEBIT CARD"/>
  </r>
  <r>
    <d v="2019-01-15T00:00:00"/>
    <s v="Central"/>
    <x v="2"/>
    <s v="David"/>
    <s v="Home Theater"/>
    <n v="46"/>
    <n v="500"/>
    <n v="23000"/>
    <s v="NET BANKING"/>
  </r>
  <r>
    <d v="2019-02-01T00:00:00"/>
    <s v="Central"/>
    <x v="3"/>
    <s v="John"/>
    <s v="Home Theater"/>
    <n v="87"/>
    <n v="500"/>
    <n v="43500"/>
    <s v="UPI"/>
  </r>
  <r>
    <d v="2019-03-07T00:00:00"/>
    <s v="West"/>
    <x v="2"/>
    <s v="Stephen"/>
    <s v="Home Theater"/>
    <n v="7"/>
    <n v="500"/>
    <n v="3500"/>
    <s v="DEBIT CARD"/>
  </r>
  <r>
    <d v="2019-03-24T00:00:00"/>
    <s v="Central"/>
    <x v="1"/>
    <s v="Luis"/>
    <s v="Video Games"/>
    <n v="50"/>
    <n v="58.5"/>
    <n v="2925"/>
    <s v="NET BANKING"/>
  </r>
  <r>
    <d v="2019-04-10T00:00:00"/>
    <s v="Central"/>
    <x v="0"/>
    <s v="Steven"/>
    <s v="Television"/>
    <n v="66"/>
    <n v="1198"/>
    <n v="79068"/>
    <s v="DEBIT CARD"/>
  </r>
  <r>
    <d v="2019-04-27T00:00:00"/>
    <s v="East"/>
    <x v="0"/>
    <s v="Diana"/>
    <s v="Cell Phone"/>
    <n v="96"/>
    <n v="225"/>
    <n v="21600"/>
    <s v="CASH"/>
  </r>
  <r>
    <d v="2019-05-14T00:00:00"/>
    <s v="Central"/>
    <x v="2"/>
    <s v="David"/>
    <s v="Television"/>
    <n v="53"/>
    <n v="1198"/>
    <n v="63494"/>
    <s v="UPI"/>
  </r>
  <r>
    <d v="2019-06-17T00:00:00"/>
    <s v="Central"/>
    <x v="1"/>
    <s v="Shelli"/>
    <s v="Desk"/>
    <n v="5"/>
    <n v="125"/>
    <n v="625"/>
    <s v="DEBIT CARD"/>
  </r>
  <r>
    <d v="2019-07-04T00:00:00"/>
    <s v="East"/>
    <x v="0"/>
    <s v="Alexander"/>
    <s v="Video Games"/>
    <n v="62"/>
    <n v="58.5"/>
    <n v="3627"/>
    <s v="CASH"/>
  </r>
  <r>
    <d v="2019-07-21T00:00:00"/>
    <s v="Central"/>
    <x v="1"/>
    <s v="Sigal"/>
    <s v="Video Games"/>
    <n v="55"/>
    <n v="58.5"/>
    <n v="3217.5"/>
    <s v="DEBIT CARD"/>
  </r>
  <r>
    <d v="2019-08-07T00:00:00"/>
    <s v="Central"/>
    <x v="1"/>
    <s v="Shelli"/>
    <s v="Video Games"/>
    <n v="42"/>
    <n v="58.5"/>
    <n v="2457"/>
    <s v="NET BANKING"/>
  </r>
  <r>
    <d v="2019-09-10T00:00:00"/>
    <s v="Central"/>
    <x v="2"/>
    <s v="David"/>
    <s v="Television"/>
    <n v="7"/>
    <n v="1198"/>
    <n v="8386"/>
    <s v="DEBIT CARD"/>
  </r>
  <r>
    <d v="2019-09-27T00:00:00"/>
    <s v="West"/>
    <x v="2"/>
    <s v="Stephen"/>
    <s v="Cell Phone"/>
    <n v="76"/>
    <n v="225"/>
    <n v="17100"/>
    <s v="NET BANKING"/>
  </r>
  <r>
    <d v="2019-10-14T00:00:00"/>
    <s v="West"/>
    <x v="3"/>
    <s v="Michael"/>
    <s v="Home Theater"/>
    <n v="57"/>
    <n v="500"/>
    <n v="28500"/>
    <s v="CASH"/>
  </r>
  <r>
    <d v="2019-10-31T00:00:00"/>
    <s v="Central"/>
    <x v="0"/>
    <s v="Steven"/>
    <s v="Television"/>
    <n v="14"/>
    <n v="1198"/>
    <n v="16772"/>
    <s v="DEBIT CARD"/>
  </r>
  <r>
    <d v="2019-11-17T00:00:00"/>
    <s v="Central"/>
    <x v="1"/>
    <s v="Luis"/>
    <s v="Home Theater"/>
    <n v="11"/>
    <n v="500"/>
    <n v="5500"/>
    <s v="DEBIT CARD"/>
  </r>
  <r>
    <d v="2019-12-21T00:00:00"/>
    <s v="Central"/>
    <x v="0"/>
    <s v="Steven"/>
    <s v="Home Theater"/>
    <n v="28"/>
    <n v="500"/>
    <n v="14000"/>
    <s v="DEBIT CARD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">
  <r>
    <d v="2018-01-06T00:00:00"/>
    <x v="0"/>
    <s v="Martha"/>
    <x v="0"/>
    <s v="Television"/>
    <n v="95"/>
    <n v="1198"/>
    <n v="113810"/>
    <x v="0"/>
  </r>
  <r>
    <d v="2018-02-09T00:00:00"/>
    <x v="1"/>
    <s v="Hermann"/>
    <x v="1"/>
    <s v="Television"/>
    <n v="36"/>
    <n v="1198"/>
    <n v="43128"/>
    <x v="1"/>
  </r>
  <r>
    <d v="2018-02-26T00:00:00"/>
    <x v="1"/>
    <s v="Timothy"/>
    <x v="2"/>
    <s v="Cell Phone"/>
    <n v="27"/>
    <n v="225"/>
    <n v="6075"/>
    <x v="2"/>
  </r>
  <r>
    <d v="2018-03-15T00:00:00"/>
    <x v="2"/>
    <s v="Timothy"/>
    <x v="3"/>
    <s v="Television"/>
    <n v="56"/>
    <n v="1198"/>
    <n v="67088"/>
    <x v="0"/>
  </r>
  <r>
    <d v="2018-04-18T00:00:00"/>
    <x v="1"/>
    <s v="Martha"/>
    <x v="4"/>
    <s v="Television"/>
    <n v="75"/>
    <n v="1198"/>
    <n v="89850"/>
    <x v="1"/>
  </r>
  <r>
    <d v="2018-05-05T00:00:00"/>
    <x v="1"/>
    <s v="Hermann"/>
    <x v="1"/>
    <s v="Television"/>
    <n v="90"/>
    <n v="1198"/>
    <n v="107820"/>
    <x v="0"/>
  </r>
  <r>
    <d v="2018-09-01T00:00:00"/>
    <x v="1"/>
    <s v="Douglas"/>
    <x v="5"/>
    <s v="Desk"/>
    <n v="2"/>
    <n v="125"/>
    <n v="250"/>
    <x v="2"/>
  </r>
  <r>
    <d v="2019-08-24T00:00:00"/>
    <x v="2"/>
    <s v="Timothy"/>
    <x v="3"/>
    <s v="Desk"/>
    <n v="3"/>
    <n v="125"/>
    <n v="375"/>
    <x v="3"/>
  </r>
  <r>
    <d v="2018-01-23T00:00:00"/>
    <x v="1"/>
    <s v="Hermann"/>
    <x v="6"/>
    <s v="Home Theater"/>
    <n v="50"/>
    <n v="500"/>
    <n v="25000"/>
    <x v="3"/>
  </r>
  <r>
    <d v="2018-10-05T00:00:00"/>
    <x v="1"/>
    <s v="Hermann"/>
    <x v="7"/>
    <s v="Home Theater"/>
    <n v="28"/>
    <n v="500"/>
    <n v="14000"/>
    <x v="3"/>
  </r>
  <r>
    <d v="2019-05-31T00:00:00"/>
    <x v="1"/>
    <s v="Timothy"/>
    <x v="2"/>
    <s v="Home Theater"/>
    <n v="80"/>
    <n v="500"/>
    <n v="40000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x v="0"/>
    <s v="Martha"/>
    <s v="Alexander"/>
    <s v="Television"/>
    <n v="95"/>
    <n v="1198"/>
    <n v="113810"/>
    <s v="UPI"/>
  </r>
  <r>
    <x v="1"/>
    <x v="1"/>
    <s v="Hermann"/>
    <s v="Shelli"/>
    <s v="Home Theater"/>
    <n v="50"/>
    <n v="500"/>
    <n v="25000"/>
    <s v="CASH"/>
  </r>
  <r>
    <x v="2"/>
    <x v="1"/>
    <s v="Hermann"/>
    <s v="Luis"/>
    <s v="Television"/>
    <n v="36"/>
    <n v="1198"/>
    <n v="43128"/>
    <s v="DEBIT CARD"/>
  </r>
  <r>
    <x v="3"/>
    <x v="1"/>
    <s v="Timothy"/>
    <s v="David"/>
    <s v="Cell Phone"/>
    <n v="27"/>
    <n v="225"/>
    <n v="6075"/>
    <s v="NET BANKING"/>
  </r>
  <r>
    <x v="4"/>
    <x v="2"/>
    <s v="Timothy"/>
    <s v="Stephen"/>
    <s v="Television"/>
    <n v="56"/>
    <n v="1198"/>
    <n v="67088"/>
    <s v="UPI"/>
  </r>
  <r>
    <x v="5"/>
    <x v="0"/>
    <s v="Martha"/>
    <s v="Alexander"/>
    <s v="Home Theater"/>
    <n v="60"/>
    <n v="500"/>
    <n v="30000"/>
    <s v="CASH"/>
  </r>
  <r>
    <x v="6"/>
    <x v="1"/>
    <s v="Martha"/>
    <s v="Steven"/>
    <s v="Television"/>
    <n v="75"/>
    <n v="1198"/>
    <n v="89850"/>
    <s v="DEBIT CARD"/>
  </r>
  <r>
    <x v="7"/>
    <x v="1"/>
    <s v="Hermann"/>
    <s v="Luis"/>
    <s v="Television"/>
    <n v="90"/>
    <n v="1198"/>
    <n v="107820"/>
    <s v="UPI"/>
  </r>
  <r>
    <x v="8"/>
    <x v="2"/>
    <s v="Douglas"/>
    <s v="Michael"/>
    <s v="Television"/>
    <n v="32"/>
    <n v="1198"/>
    <n v="38336"/>
    <s v="CASH"/>
  </r>
  <r>
    <x v="9"/>
    <x v="0"/>
    <s v="Martha"/>
    <s v="Alexander"/>
    <s v="Home Theater"/>
    <n v="60"/>
    <n v="500"/>
    <n v="30000"/>
    <s v="UPI"/>
  </r>
  <r>
    <x v="10"/>
    <x v="1"/>
    <s v="Hermann"/>
    <s v="Sigal"/>
    <s v="Television"/>
    <n v="90"/>
    <n v="1198"/>
    <n v="107820"/>
    <s v="CASH"/>
  </r>
  <r>
    <x v="11"/>
    <x v="0"/>
    <s v="Martha"/>
    <s v="Diana"/>
    <s v="Home Theater"/>
    <n v="29"/>
    <n v="500"/>
    <n v="14500"/>
    <s v="DEBIT CARD"/>
  </r>
  <r>
    <x v="12"/>
    <x v="0"/>
    <s v="Douglas"/>
    <s v="Karen"/>
    <s v="Home Theater"/>
    <n v="81"/>
    <n v="500"/>
    <n v="40500"/>
    <s v="NET BANKING"/>
  </r>
  <r>
    <x v="13"/>
    <x v="0"/>
    <s v="Martha"/>
    <s v="Alexander"/>
    <s v="Television"/>
    <n v="35"/>
    <n v="1198"/>
    <n v="41930"/>
    <s v="DEBIT CARD"/>
  </r>
  <r>
    <x v="14"/>
    <x v="1"/>
    <s v="Douglas"/>
    <s v="John"/>
    <s v="Desk"/>
    <n v="2"/>
    <n v="125"/>
    <n v="250"/>
    <s v="NET BANKING"/>
  </r>
  <r>
    <x v="15"/>
    <x v="1"/>
    <s v="Hermann"/>
    <s v="Sigal"/>
    <s v="Home Theater"/>
    <n v="28"/>
    <n v="500"/>
    <n v="14000"/>
    <s v="CASH"/>
  </r>
  <r>
    <x v="16"/>
    <x v="0"/>
    <s v="Martha"/>
    <s v="Alexander"/>
    <s v="Cell Phone"/>
    <n v="64"/>
    <n v="225"/>
    <n v="14400"/>
    <s v="NET BANKING"/>
  </r>
  <r>
    <x v="17"/>
    <x v="0"/>
    <s v="Douglas"/>
    <s v="Karen"/>
    <s v="Cell Phone"/>
    <n v="15"/>
    <n v="225"/>
    <n v="3375"/>
    <s v="DEBIT CARD"/>
  </r>
  <r>
    <x v="18"/>
    <x v="1"/>
    <s v="Hermann"/>
    <s v="Shelli"/>
    <s v="Video Games"/>
    <n v="96"/>
    <n v="58.5"/>
    <n v="5616"/>
    <s v="NET BANKING"/>
  </r>
  <r>
    <x v="19"/>
    <x v="0"/>
    <s v="Martha"/>
    <s v="Alexander"/>
    <s v="Home Theater"/>
    <n v="4"/>
    <n v="500"/>
    <n v="2000"/>
    <s v="CASH"/>
  </r>
  <r>
    <x v="20"/>
    <x v="1"/>
    <s v="Timothy"/>
    <s v="David"/>
    <s v="Home Theater"/>
    <n v="80"/>
    <n v="500"/>
    <n v="40000"/>
    <s v="CASH"/>
  </r>
  <r>
    <x v="21"/>
    <x v="2"/>
    <s v="Timothy"/>
    <s v="Stephen"/>
    <s v="Desk"/>
    <n v="3"/>
    <n v="125"/>
    <n v="375"/>
    <s v="CASH"/>
  </r>
  <r>
    <x v="22"/>
    <x v="1"/>
    <s v="Hermann"/>
    <s v="Luis"/>
    <s v="Home Theater"/>
    <n v="94"/>
    <n v="500"/>
    <n v="47000"/>
    <s v="CASH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s v="East"/>
    <x v="0"/>
    <s v="Alexander"/>
    <s v="Television"/>
    <n v="95"/>
    <n v="1198"/>
    <n v="113810"/>
    <s v="UPI"/>
  </r>
  <r>
    <x v="1"/>
    <s v="Central"/>
    <x v="1"/>
    <s v="Shelli"/>
    <s v="Home Theater"/>
    <n v="50"/>
    <n v="500"/>
    <n v="25000"/>
    <s v="CASH"/>
  </r>
  <r>
    <x v="2"/>
    <s v="Central"/>
    <x v="1"/>
    <s v="Luis"/>
    <s v="Television"/>
    <n v="36"/>
    <n v="1198"/>
    <n v="43128"/>
    <s v="DEBIT CARD"/>
  </r>
  <r>
    <x v="3"/>
    <s v="Central"/>
    <x v="2"/>
    <s v="David"/>
    <s v="Cell Phone"/>
    <n v="27"/>
    <n v="225"/>
    <n v="6075"/>
    <s v="NET BANKING"/>
  </r>
  <r>
    <x v="4"/>
    <s v="West"/>
    <x v="2"/>
    <s v="Stephen"/>
    <s v="Television"/>
    <n v="56"/>
    <n v="1198"/>
    <n v="67088"/>
    <s v="UPI"/>
  </r>
  <r>
    <x v="5"/>
    <s v="East"/>
    <x v="0"/>
    <s v="Alexander"/>
    <s v="Home Theater"/>
    <n v="60"/>
    <n v="500"/>
    <n v="30000"/>
    <s v="CASH"/>
  </r>
  <r>
    <x v="6"/>
    <s v="Central"/>
    <x v="0"/>
    <s v="Steven"/>
    <s v="Television"/>
    <n v="75"/>
    <n v="1198"/>
    <n v="89850"/>
    <s v="DEBIT CARD"/>
  </r>
  <r>
    <x v="7"/>
    <s v="Central"/>
    <x v="1"/>
    <s v="Luis"/>
    <s v="Television"/>
    <n v="90"/>
    <n v="1198"/>
    <n v="107820"/>
    <s v="UPI"/>
  </r>
  <r>
    <x v="8"/>
    <s v="West"/>
    <x v="3"/>
    <s v="Michael"/>
    <s v="Television"/>
    <n v="32"/>
    <n v="1198"/>
    <n v="38336"/>
    <s v="CASH"/>
  </r>
  <r>
    <x v="9"/>
    <s v="East"/>
    <x v="0"/>
    <s v="Alexander"/>
    <s v="Home Theater"/>
    <n v="60"/>
    <n v="500"/>
    <n v="30000"/>
    <s v="UPI"/>
  </r>
  <r>
    <x v="10"/>
    <s v="Central"/>
    <x v="1"/>
    <s v="Sigal"/>
    <s v="Television"/>
    <n v="90"/>
    <n v="1198"/>
    <n v="107820"/>
    <s v="CASH"/>
  </r>
  <r>
    <x v="11"/>
    <s v="East"/>
    <x v="0"/>
    <s v="Diana"/>
    <s v="Home Theater"/>
    <n v="29"/>
    <n v="500"/>
    <n v="14500"/>
    <s v="DEBIT CARD"/>
  </r>
  <r>
    <x v="12"/>
    <s v="East"/>
    <x v="3"/>
    <s v="Karen"/>
    <s v="Home Theater"/>
    <n v="81"/>
    <n v="500"/>
    <n v="40500"/>
    <s v="NET BANKING"/>
  </r>
  <r>
    <x v="13"/>
    <s v="East"/>
    <x v="0"/>
    <s v="Alexander"/>
    <s v="Television"/>
    <n v="35"/>
    <n v="1198"/>
    <n v="41930"/>
    <s v="DEBIT CARD"/>
  </r>
  <r>
    <x v="14"/>
    <s v="Central"/>
    <x v="3"/>
    <s v="John"/>
    <s v="Desk"/>
    <n v="2"/>
    <n v="125"/>
    <n v="250"/>
    <s v="NET BANKING"/>
  </r>
  <r>
    <x v="15"/>
    <s v="Central"/>
    <x v="1"/>
    <s v="Sigal"/>
    <s v="Home Theater"/>
    <n v="28"/>
    <n v="500"/>
    <n v="14000"/>
    <s v="CASH"/>
  </r>
  <r>
    <x v="16"/>
    <s v="East"/>
    <x v="0"/>
    <s v="Alexander"/>
    <s v="Cell Phone"/>
    <n v="64"/>
    <n v="225"/>
    <n v="14400"/>
    <s v="NET BANKING"/>
  </r>
  <r>
    <x v="17"/>
    <s v="East"/>
    <x v="3"/>
    <s v="Karen"/>
    <s v="Cell Phone"/>
    <n v="15"/>
    <n v="225"/>
    <n v="3375"/>
    <s v="DEBIT CARD"/>
  </r>
  <r>
    <x v="18"/>
    <s v="Central"/>
    <x v="1"/>
    <s v="Shelli"/>
    <s v="Video Games"/>
    <n v="96"/>
    <n v="58.5"/>
    <n v="5616"/>
    <s v="NET BANKING"/>
  </r>
  <r>
    <x v="19"/>
    <s v="East"/>
    <x v="0"/>
    <s v="Alexander"/>
    <s v="Home Theater"/>
    <n v="4"/>
    <n v="500"/>
    <n v="2000"/>
    <s v="CASH"/>
  </r>
  <r>
    <x v="20"/>
    <s v="Central"/>
    <x v="2"/>
    <s v="David"/>
    <s v="Home Theater"/>
    <n v="80"/>
    <n v="500"/>
    <n v="40000"/>
    <s v="CASH"/>
  </r>
  <r>
    <x v="21"/>
    <s v="West"/>
    <x v="2"/>
    <s v="Stephen"/>
    <s v="Desk"/>
    <n v="3"/>
    <n v="125"/>
    <n v="375"/>
    <s v="CASH"/>
  </r>
  <r>
    <x v="22"/>
    <s v="Central"/>
    <x v="1"/>
    <s v="Luis"/>
    <s v="Home Theater"/>
    <n v="94"/>
    <n v="500"/>
    <n v="47000"/>
    <s v="CASH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8105FE-384B-4BFA-855B-5023E3F4C261}" name="PivotTable8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13:F18" firstHeaderRow="0" firstDataRow="1" firstDataCol="1"/>
  <pivotFields count="10">
    <pivotField numFmtId="14"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_amt" fld="7" baseField="0" baseItem="0"/>
    <dataField name="Max of Units" fld="5" subtotal="max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703331-90ED-4F0C-9CA9-C15CEFE6327A}" name="PivotTable7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9:I14" firstHeaderRow="0" firstDataRow="1" firstDataCol="1"/>
  <pivotFields count="10">
    <pivotField numFmtId="14"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_amt" fld="7" baseField="0" baseItem="0"/>
    <dataField name="Max of Units" fld="5" subtotal="max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7CC0A2-CB94-463D-B4DC-6F33A7353C3C}" name="PivotTable6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G17:I22" firstHeaderRow="0" firstDataRow="1" firstDataCol="1"/>
  <pivotFields count="10">
    <pivotField numFmtId="14"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_amt" fld="7" baseField="0" baseItem="0"/>
    <dataField name="Max of Units" fld="5" subtotal="max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AC233B-D4D6-4316-A70E-B7424E7F4DC4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2:C17" firstHeaderRow="0" firstDataRow="1" firstDataCol="1"/>
  <pivotFields count="10">
    <pivotField numFmtId="14"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_amt" fld="7" baseField="0" baseItem="0"/>
    <dataField name="Max of Units" fld="5" subtotal="max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3C8B30-1FA5-4AAE-A9E0-6F3A0FF62570}" name="PivotTable4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8" firstHeaderRow="0" firstDataRow="1" firstDataCol="1"/>
  <pivotFields count="10">
    <pivotField numFmtId="14" showAll="0"/>
    <pivotField showAll="0"/>
    <pivotField axis="axisRow" showAll="0">
      <items count="5">
        <item x="3"/>
        <item x="1"/>
        <item x="0"/>
        <item x="2"/>
        <item t="default"/>
      </items>
    </pivotField>
    <pivotField showAll="0"/>
    <pivotField showAll="0"/>
    <pivotField dataField="1" showAll="0"/>
    <pivotField showAll="0"/>
    <pivotField dataField="1" showAll="0"/>
    <pivotField showAll="0"/>
    <pivotField dragToRow="0" dragToCol="0" dragToPage="0" showAll="0" defaultSubtota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_amt" fld="7" baseField="0" baseItem="0"/>
    <dataField name="Max of Units" fld="5" subtotal="max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835264-7C82-4C79-9A36-30725F5F85CE}" name="PivotTable1" cacheId="2" applyNumberFormats="0" applyBorderFormats="0" applyFontFormats="0" applyPatternFormats="0" applyAlignmentFormats="0" applyWidthHeightFormats="1" dataCaption="Values" updatedVersion="6" minRefreshableVersion="5" useAutoFormatting="1" itemPrintTitles="1" createdVersion="6" indent="0" outline="1" outlineData="1" multipleFieldFilters="0">
  <location ref="A3:B7" firstHeaderRow="1" firstDataRow="1" firstDataCol="1"/>
  <pivotFields count="9">
    <pivotField numFmtId="14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_amt" fld="7" baseField="0" baseItem="0"/>
  </dataFields>
  <pivotTableStyleInfo name="PivotStyleLight16" showRowHeaders="1" showColHeaders="1" showRowStripes="0" showColStripes="0" showLastColumn="1"/>
  <filters count="1">
    <filter fld="0" type="dateBetween" evalOrder="-1" id="34" name="OrderDate">
      <autoFilter ref="A1">
        <filterColumn colId="0">
          <customFilters and="1">
            <customFilter operator="greaterThanOrEqual" val="43101"/>
            <customFilter operator="lessThanOrEqual" val="43465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0ED731-C565-49AD-AAA4-E58255488234}" name="PivotTable3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D31" firstHeaderRow="0" firstDataRow="1" firstDataCol="1"/>
  <pivotFields count="9">
    <pivotField axis="axisRow" numFmtId="14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showAll="0"/>
    <pivotField axis="axisRow" showAll="0">
      <items count="5">
        <item x="3"/>
        <item x="1"/>
        <item x="0"/>
        <item x="2"/>
        <item t="default" sd="0"/>
      </items>
    </pivotField>
    <pivotField showAll="0"/>
    <pivotField showAll="0"/>
    <pivotField dataField="1" showAll="0"/>
    <pivotField dataField="1" showAll="0"/>
    <pivotField dataField="1" showAll="0"/>
    <pivotField showAll="0"/>
  </pivotFields>
  <rowFields count="2">
    <field x="2"/>
    <field x="0"/>
  </rowFields>
  <rowItems count="28">
    <i>
      <x/>
    </i>
    <i r="1">
      <x v="8"/>
    </i>
    <i r="1">
      <x v="12"/>
    </i>
    <i r="1">
      <x v="14"/>
    </i>
    <i r="1">
      <x v="17"/>
    </i>
    <i>
      <x v="1"/>
    </i>
    <i r="1">
      <x v="1"/>
    </i>
    <i r="1">
      <x v="2"/>
    </i>
    <i r="1">
      <x v="7"/>
    </i>
    <i r="1">
      <x v="10"/>
    </i>
    <i r="1">
      <x v="15"/>
    </i>
    <i r="1">
      <x v="18"/>
    </i>
    <i r="1">
      <x v="22"/>
    </i>
    <i>
      <x v="2"/>
    </i>
    <i r="1">
      <x/>
    </i>
    <i r="1">
      <x v="5"/>
    </i>
    <i r="1">
      <x v="6"/>
    </i>
    <i r="1">
      <x v="9"/>
    </i>
    <i r="1">
      <x v="11"/>
    </i>
    <i r="1">
      <x v="13"/>
    </i>
    <i r="1">
      <x v="16"/>
    </i>
    <i r="1">
      <x v="19"/>
    </i>
    <i>
      <x v="3"/>
    </i>
    <i r="1">
      <x v="3"/>
    </i>
    <i r="1">
      <x v="4"/>
    </i>
    <i r="1">
      <x v="20"/>
    </i>
    <i r="1">
      <x v="2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nits" fld="5" baseField="0" baseItem="0"/>
    <dataField name="Sum of Sale_amt" fld="7" baseField="0" baseItem="0"/>
    <dataField name="Sum of Unit_price" fld="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729F82-2170-4660-95C2-CAFA2B4DB401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7" firstHeaderRow="1" firstDataRow="1" firstDataCol="1"/>
  <pivotFields count="9">
    <pivotField numFmtId="14" showAll="0"/>
    <pivotField axis="axisRow" showAll="0">
      <items count="4">
        <item sd="0" x="1"/>
        <item sd="0" x="0"/>
        <item sd="0" x="2"/>
        <item t="default"/>
      </items>
    </pivotField>
    <pivotField showAll="0"/>
    <pivotField showAll="0">
      <items count="9">
        <item x="0"/>
        <item x="2"/>
        <item x="5"/>
        <item x="1"/>
        <item x="6"/>
        <item x="7"/>
        <item x="3"/>
        <item x="4"/>
        <item t="default"/>
      </items>
    </pivotField>
    <pivotField showAll="0"/>
    <pivotField showAll="0"/>
    <pivotField showAll="0"/>
    <pivotField dataField="1" showAll="0"/>
    <pivotField axis="axisRow" showAll="0">
      <items count="5">
        <item x="3"/>
        <item x="1"/>
        <item x="2"/>
        <item x="0"/>
        <item t="default"/>
      </items>
    </pivotField>
  </pivotFields>
  <rowFields count="2">
    <field x="1"/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_am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C4DB8E-190A-4628-BB3E-464024FB8750}" name="PivotTable3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5:B34" firstHeaderRow="1" firstDataRow="1" firstDataCol="1"/>
  <pivotFields count="9">
    <pivotField numFmtId="14" showAll="0"/>
    <pivotField showAll="0">
      <items count="4">
        <item h="1" x="1"/>
        <item x="0"/>
        <item h="1" x="2"/>
        <item t="default"/>
      </items>
    </pivotField>
    <pivotField showAll="0"/>
    <pivotField axis="axisRow" showAll="0">
      <items count="9">
        <item x="0"/>
        <item x="2"/>
        <item x="5"/>
        <item x="1"/>
        <item x="6"/>
        <item x="7"/>
        <item x="3"/>
        <item x="4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_am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36CEED-5BD7-451E-A688-41A576E25659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2" firstHeaderRow="1" firstDataRow="1" firstDataCol="1"/>
  <pivotFields count="9">
    <pivotField numFmtId="14" showAll="0"/>
    <pivotField showAll="0">
      <items count="4">
        <item x="1"/>
        <item h="1" x="0"/>
        <item h="1" x="2"/>
        <item t="default"/>
      </items>
    </pivotField>
    <pivotField showAll="0"/>
    <pivotField axis="axisRow" showAll="0">
      <items count="9">
        <item x="0"/>
        <item x="2"/>
        <item x="5"/>
        <item x="1"/>
        <item x="6"/>
        <item x="7"/>
        <item x="3"/>
        <item x="4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3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um of Sale_am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272C2C-0E14-43FE-9839-190D9BDCDB20}" name="Table1" displayName="Table1" ref="A1:I24" totalsRowShown="0" headerRowDxfId="13" dataDxfId="11" headerRowBorderDxfId="12" tableBorderDxfId="10" totalsRowBorderDxfId="9" headerRowCellStyle="Normal 2">
  <autoFilter ref="A1:I24" xr:uid="{FCA55847-EE9C-4286-8284-45388C2D56AF}"/>
  <sortState ref="A2:I24">
    <sortCondition ref="A1:A24"/>
  </sortState>
  <tableColumns count="9">
    <tableColumn id="1" xr3:uid="{79A75550-4CE4-414A-9A7E-83C5ED5BE3EF}" name="OrderDate" dataDxfId="8"/>
    <tableColumn id="2" xr3:uid="{DD247317-B8B0-4622-8151-C993B8F8D4B4}" name="Region" dataDxfId="7"/>
    <tableColumn id="3" xr3:uid="{41EA1B2A-C521-404A-920C-1A009BBB3A98}" name="Manager" dataDxfId="6"/>
    <tableColumn id="4" xr3:uid="{7112608C-8DED-4A2A-9AF9-967749442FC4}" name="SalesMan" dataDxfId="5"/>
    <tableColumn id="5" xr3:uid="{D325747A-3F35-428F-9B9E-D128D85EED4A}" name="Item" dataDxfId="4"/>
    <tableColumn id="6" xr3:uid="{FE5A8364-5F7B-4237-B2C7-62187F28F59F}" name="Units" dataDxfId="3"/>
    <tableColumn id="7" xr3:uid="{7FB961D8-A5E3-4C33-B5B2-7653F4FE84B6}" name="Unit_price" dataDxfId="2"/>
    <tableColumn id="8" xr3:uid="{34235816-6D63-43BD-A559-4E8DC03C85C0}" name="Sale_amt" dataDxfId="1"/>
    <tableColumn id="9" xr3:uid="{AAAE5550-9394-4269-82CD-8520ACC2F825}" name="Payment Typ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iveTimeline_OrderDate" xr10:uid="{FE0B8347-8037-44F4-80CA-C5BBBC0F7E77}" sourceName="OrderDate">
  <pivotTables>
    <pivotTable tabId="15" name="PivotTable1"/>
  </pivotTables>
  <state minimalRefreshVersion="6" lastRefreshVersion="6" pivotCacheId="512600103" filterType="dateBetween">
    <selection startDate="2018-01-01T00:00:00" endDate="2018-12-31T00:00:00"/>
    <bounds startDate="2018-01-01T00:00:00" endDate="2020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OrderDate" xr10:uid="{B0B579AC-795D-4B72-AD14-4AA82A86CC9D}" cache="NativeTimeline_OrderDate" caption="OrderDate" level="0" selectionLevel="0" scrollPosition="2018-01-01T00:00:00"/>
</timeline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1/relationships/timeline" Target="../timelines/timelin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K7"/>
  <sheetViews>
    <sheetView zoomScale="115" zoomScaleNormal="115" workbookViewId="0">
      <selection activeCell="J10" sqref="J10"/>
    </sheetView>
  </sheetViews>
  <sheetFormatPr defaultRowHeight="14.4" x14ac:dyDescent="0.3"/>
  <cols>
    <col min="2" max="2" width="15.33203125" customWidth="1"/>
    <col min="9" max="9" width="12.66406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4">
        <f ca="1">TODAY()</f>
        <v>46049</v>
      </c>
      <c r="B2" s="5">
        <f ca="1">NOW()</f>
        <v>46049.507495601851</v>
      </c>
      <c r="C2">
        <f ca="1">YEAR(B2)</f>
        <v>2026</v>
      </c>
      <c r="D2">
        <f ca="1">MONTH(B2)</f>
        <v>1</v>
      </c>
      <c r="E2">
        <f ca="1">DAY(B2)</f>
        <v>27</v>
      </c>
      <c r="F2">
        <f ca="1">HOUR(B2)</f>
        <v>12</v>
      </c>
      <c r="G2">
        <f ca="1">MINUTE(B2)</f>
        <v>10</v>
      </c>
      <c r="H2">
        <f ca="1">SECOND(B2)</f>
        <v>48</v>
      </c>
      <c r="I2" s="5">
        <f ca="1">EDATE(A2,4)</f>
        <v>46169</v>
      </c>
    </row>
    <row r="4" spans="1:11" x14ac:dyDescent="0.3">
      <c r="I4" s="4">
        <f ca="1">EDATE(A2,3*12)</f>
        <v>47145</v>
      </c>
    </row>
    <row r="5" spans="1:11" x14ac:dyDescent="0.3">
      <c r="B5" s="4">
        <f>DATE(2022,4,23)</f>
        <v>44674</v>
      </c>
    </row>
    <row r="7" spans="1:11" x14ac:dyDescent="0.3">
      <c r="B7" s="4">
        <v>45282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2A5D-0CF6-49CB-BDEA-AE5CD28B1253}">
  <dimension ref="A3:I22"/>
  <sheetViews>
    <sheetView workbookViewId="0">
      <selection activeCell="L6" sqref="L6"/>
    </sheetView>
  </sheetViews>
  <sheetFormatPr defaultRowHeight="14.4" x14ac:dyDescent="0.3"/>
  <cols>
    <col min="1" max="1" width="12.5546875" bestFit="1" customWidth="1"/>
    <col min="2" max="2" width="15.33203125" bestFit="1" customWidth="1"/>
    <col min="3" max="3" width="11.6640625" bestFit="1" customWidth="1"/>
    <col min="4" max="4" width="11.77734375" bestFit="1" customWidth="1"/>
  </cols>
  <sheetData>
    <row r="3" spans="1:9" x14ac:dyDescent="0.3">
      <c r="A3" s="13" t="s">
        <v>47</v>
      </c>
      <c r="B3" t="s">
        <v>49</v>
      </c>
      <c r="C3" t="s">
        <v>50</v>
      </c>
    </row>
    <row r="4" spans="1:9" x14ac:dyDescent="0.3">
      <c r="A4" s="14" t="s">
        <v>31</v>
      </c>
      <c r="B4" s="15">
        <v>239056</v>
      </c>
      <c r="C4" s="16">
        <v>0.90625</v>
      </c>
    </row>
    <row r="5" spans="1:9" x14ac:dyDescent="0.3">
      <c r="A5" s="14" t="s">
        <v>35</v>
      </c>
      <c r="B5" s="15">
        <v>365108.5</v>
      </c>
      <c r="C5" s="16">
        <v>1</v>
      </c>
    </row>
    <row r="6" spans="1:9" x14ac:dyDescent="0.3">
      <c r="A6" s="14" t="s">
        <v>28</v>
      </c>
      <c r="B6" s="15">
        <v>472493</v>
      </c>
      <c r="C6" s="16">
        <v>1</v>
      </c>
    </row>
    <row r="7" spans="1:9" x14ac:dyDescent="0.3">
      <c r="A7" s="14" t="s">
        <v>21</v>
      </c>
      <c r="B7" s="15">
        <v>229018</v>
      </c>
      <c r="C7" s="16">
        <v>0.83333333333333337</v>
      </c>
    </row>
    <row r="8" spans="1:9" x14ac:dyDescent="0.3">
      <c r="A8" s="14" t="s">
        <v>48</v>
      </c>
      <c r="B8" s="15">
        <v>1305675.5</v>
      </c>
      <c r="C8" s="16">
        <v>1</v>
      </c>
    </row>
    <row r="9" spans="1:9" x14ac:dyDescent="0.3">
      <c r="G9" s="13" t="s">
        <v>47</v>
      </c>
      <c r="H9" s="13" t="s">
        <v>49</v>
      </c>
      <c r="I9" s="13" t="s">
        <v>50</v>
      </c>
    </row>
    <row r="10" spans="1:9" x14ac:dyDescent="0.3">
      <c r="G10" s="14" t="s">
        <v>31</v>
      </c>
      <c r="H10" s="15">
        <v>239056</v>
      </c>
      <c r="I10" s="16">
        <v>0.90625</v>
      </c>
    </row>
    <row r="11" spans="1:9" x14ac:dyDescent="0.3">
      <c r="G11" s="14" t="s">
        <v>35</v>
      </c>
      <c r="H11" s="15">
        <v>365108.5</v>
      </c>
      <c r="I11" s="16">
        <v>1</v>
      </c>
    </row>
    <row r="12" spans="1:9" x14ac:dyDescent="0.3">
      <c r="A12" s="13" t="s">
        <v>47</v>
      </c>
      <c r="B12" s="13" t="s">
        <v>49</v>
      </c>
      <c r="C12" s="13" t="s">
        <v>50</v>
      </c>
      <c r="D12" s="13"/>
      <c r="G12" s="14" t="s">
        <v>28</v>
      </c>
      <c r="H12" s="15">
        <v>472493</v>
      </c>
      <c r="I12" s="16">
        <v>1</v>
      </c>
    </row>
    <row r="13" spans="1:9" x14ac:dyDescent="0.3">
      <c r="A13" s="14" t="s">
        <v>31</v>
      </c>
      <c r="B13" s="15">
        <v>239056</v>
      </c>
      <c r="C13" s="16">
        <v>0.90625</v>
      </c>
      <c r="D13" s="13" t="s">
        <v>47</v>
      </c>
      <c r="E13" s="13" t="s">
        <v>49</v>
      </c>
      <c r="F13" s="13" t="s">
        <v>50</v>
      </c>
      <c r="G13" s="17" t="s">
        <v>21</v>
      </c>
      <c r="H13" s="18">
        <v>229018</v>
      </c>
      <c r="I13" s="19">
        <v>0.83333333333333337</v>
      </c>
    </row>
    <row r="14" spans="1:9" x14ac:dyDescent="0.3">
      <c r="A14" s="14" t="s">
        <v>35</v>
      </c>
      <c r="B14" s="15">
        <v>365108.5</v>
      </c>
      <c r="C14" s="16">
        <v>1</v>
      </c>
      <c r="D14" s="14" t="s">
        <v>31</v>
      </c>
      <c r="E14" s="15">
        <v>239056</v>
      </c>
      <c r="F14" s="16">
        <v>0.90625</v>
      </c>
      <c r="G14" s="14" t="s">
        <v>48</v>
      </c>
      <c r="H14" s="15">
        <v>1305675.5</v>
      </c>
      <c r="I14" s="16">
        <v>1</v>
      </c>
    </row>
    <row r="15" spans="1:9" x14ac:dyDescent="0.3">
      <c r="A15" s="14" t="s">
        <v>28</v>
      </c>
      <c r="B15" s="15">
        <v>472493</v>
      </c>
      <c r="C15" s="16">
        <v>1</v>
      </c>
      <c r="D15" s="14" t="s">
        <v>35</v>
      </c>
      <c r="E15" s="15">
        <v>365108.5</v>
      </c>
      <c r="F15" s="16">
        <v>1</v>
      </c>
    </row>
    <row r="16" spans="1:9" x14ac:dyDescent="0.3">
      <c r="A16" s="14" t="s">
        <v>21</v>
      </c>
      <c r="B16" s="15">
        <v>229018</v>
      </c>
      <c r="C16" s="16">
        <v>0.83333333333333337</v>
      </c>
      <c r="D16" s="14" t="s">
        <v>28</v>
      </c>
      <c r="E16" s="15">
        <v>472493</v>
      </c>
      <c r="F16" s="16">
        <v>1</v>
      </c>
    </row>
    <row r="17" spans="1:9" x14ac:dyDescent="0.3">
      <c r="A17" s="14" t="s">
        <v>48</v>
      </c>
      <c r="B17" s="15">
        <v>1305675.5</v>
      </c>
      <c r="C17" s="16">
        <v>1</v>
      </c>
      <c r="D17" s="14" t="s">
        <v>21</v>
      </c>
      <c r="E17" s="15">
        <v>229018</v>
      </c>
      <c r="F17" s="16">
        <v>0.83333333333333337</v>
      </c>
      <c r="G17" s="13" t="s">
        <v>47</v>
      </c>
      <c r="H17" s="13" t="s">
        <v>49</v>
      </c>
      <c r="I17" s="13" t="s">
        <v>50</v>
      </c>
    </row>
    <row r="18" spans="1:9" x14ac:dyDescent="0.3">
      <c r="D18" s="14" t="s">
        <v>48</v>
      </c>
      <c r="E18" s="15">
        <v>1305675.5</v>
      </c>
      <c r="F18" s="16">
        <v>1</v>
      </c>
      <c r="G18" s="14" t="s">
        <v>31</v>
      </c>
      <c r="H18" s="15">
        <v>239056</v>
      </c>
      <c r="I18" s="16">
        <v>0.90625</v>
      </c>
    </row>
    <row r="19" spans="1:9" x14ac:dyDescent="0.3">
      <c r="G19" s="14" t="s">
        <v>35</v>
      </c>
      <c r="H19" s="15">
        <v>365108.5</v>
      </c>
      <c r="I19" s="16">
        <v>1</v>
      </c>
    </row>
    <row r="20" spans="1:9" x14ac:dyDescent="0.3">
      <c r="G20" s="14" t="s">
        <v>28</v>
      </c>
      <c r="H20" s="15">
        <v>472493</v>
      </c>
      <c r="I20" s="16">
        <v>1</v>
      </c>
    </row>
    <row r="21" spans="1:9" x14ac:dyDescent="0.3">
      <c r="G21" s="14" t="s">
        <v>21</v>
      </c>
      <c r="H21" s="15">
        <v>229018</v>
      </c>
      <c r="I21" s="16">
        <v>0.83333333333333337</v>
      </c>
    </row>
    <row r="22" spans="1:9" x14ac:dyDescent="0.3">
      <c r="G22" s="14" t="s">
        <v>48</v>
      </c>
      <c r="H22" s="15">
        <v>1305675.5</v>
      </c>
      <c r="I22" s="1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4A64F-D990-491A-8769-AE954C758407}">
  <sheetPr codeName="Sheet2"/>
  <dimension ref="A1:Q49"/>
  <sheetViews>
    <sheetView zoomScale="160" zoomScaleNormal="160" workbookViewId="0">
      <selection activeCell="F47" sqref="F47"/>
    </sheetView>
  </sheetViews>
  <sheetFormatPr defaultRowHeight="14.4" outlineLevelRow="2" x14ac:dyDescent="0.3"/>
  <cols>
    <col min="1" max="1" width="11.6640625" bestFit="1" customWidth="1"/>
    <col min="2" max="2" width="10.88671875" customWidth="1"/>
    <col min="3" max="3" width="11.33203125" customWidth="1"/>
    <col min="4" max="4" width="12.6640625" bestFit="1" customWidth="1"/>
    <col min="5" max="5" width="7.44140625" customWidth="1"/>
    <col min="6" max="6" width="13.21875" customWidth="1"/>
    <col min="7" max="7" width="11.109375" bestFit="1" customWidth="1"/>
    <col min="8" max="8" width="15.6640625" customWidth="1"/>
    <col min="9" max="9" width="7" bestFit="1" customWidth="1"/>
    <col min="10" max="10" width="7.77734375" customWidth="1"/>
    <col min="11" max="11" width="8.5546875" customWidth="1"/>
    <col min="12" max="12" width="8" customWidth="1"/>
    <col min="13" max="13" width="9.109375" customWidth="1"/>
    <col min="14" max="14" width="9.88671875" customWidth="1"/>
    <col min="17" max="17" width="14.33203125" customWidth="1"/>
  </cols>
  <sheetData>
    <row r="1" spans="1:17" x14ac:dyDescent="0.3">
      <c r="A1" s="46" t="s">
        <v>12</v>
      </c>
      <c r="B1" s="47" t="s">
        <v>13</v>
      </c>
      <c r="C1" s="47" t="s">
        <v>14</v>
      </c>
      <c r="D1" s="47" t="s">
        <v>15</v>
      </c>
      <c r="E1" s="47" t="s">
        <v>16</v>
      </c>
      <c r="F1" s="48" t="s">
        <v>17</v>
      </c>
      <c r="G1" s="47" t="s">
        <v>18</v>
      </c>
      <c r="H1" s="49" t="s">
        <v>19</v>
      </c>
    </row>
    <row r="2" spans="1:17" hidden="1" outlineLevel="2" x14ac:dyDescent="0.3">
      <c r="A2" s="50" t="s">
        <v>20</v>
      </c>
      <c r="B2" s="2" t="s">
        <v>35</v>
      </c>
      <c r="C2" s="2" t="s">
        <v>41</v>
      </c>
      <c r="D2" s="2" t="s">
        <v>45</v>
      </c>
      <c r="E2" s="2">
        <v>36</v>
      </c>
      <c r="F2" s="2">
        <v>1198</v>
      </c>
      <c r="G2" s="2">
        <v>43128</v>
      </c>
      <c r="H2" s="51" t="s">
        <v>33</v>
      </c>
    </row>
    <row r="3" spans="1:17" hidden="1" outlineLevel="2" x14ac:dyDescent="0.3">
      <c r="A3" s="50" t="s">
        <v>20</v>
      </c>
      <c r="B3" s="2" t="s">
        <v>21</v>
      </c>
      <c r="C3" s="2" t="s">
        <v>22</v>
      </c>
      <c r="D3" s="2" t="s">
        <v>23</v>
      </c>
      <c r="E3" s="2">
        <v>27</v>
      </c>
      <c r="F3" s="2">
        <v>225</v>
      </c>
      <c r="G3" s="2">
        <v>6075</v>
      </c>
      <c r="H3" s="51" t="s">
        <v>24</v>
      </c>
    </row>
    <row r="4" spans="1:17" hidden="1" outlineLevel="2" x14ac:dyDescent="0.3">
      <c r="A4" s="50" t="s">
        <v>20</v>
      </c>
      <c r="B4" s="2" t="s">
        <v>28</v>
      </c>
      <c r="C4" s="2" t="s">
        <v>42</v>
      </c>
      <c r="D4" s="2" t="s">
        <v>45</v>
      </c>
      <c r="E4" s="2">
        <v>75</v>
      </c>
      <c r="F4" s="2">
        <v>1198</v>
      </c>
      <c r="G4" s="2">
        <v>89850</v>
      </c>
      <c r="H4" s="51" t="s">
        <v>33</v>
      </c>
    </row>
    <row r="5" spans="1:17" hidden="1" outlineLevel="2" x14ac:dyDescent="0.3">
      <c r="A5" s="50" t="s">
        <v>20</v>
      </c>
      <c r="B5" s="2" t="s">
        <v>35</v>
      </c>
      <c r="C5" s="2" t="s">
        <v>41</v>
      </c>
      <c r="D5" s="2" t="s">
        <v>45</v>
      </c>
      <c r="E5" s="2">
        <v>90</v>
      </c>
      <c r="F5" s="2">
        <v>1198</v>
      </c>
      <c r="G5" s="2">
        <v>107820</v>
      </c>
      <c r="H5" s="51" t="s">
        <v>43</v>
      </c>
    </row>
    <row r="6" spans="1:17" hidden="1" outlineLevel="2" x14ac:dyDescent="0.3">
      <c r="A6" s="50" t="s">
        <v>20</v>
      </c>
      <c r="B6" s="2" t="s">
        <v>31</v>
      </c>
      <c r="C6" s="2" t="s">
        <v>38</v>
      </c>
      <c r="D6" s="2" t="s">
        <v>37</v>
      </c>
      <c r="E6" s="2">
        <v>2</v>
      </c>
      <c r="F6" s="2">
        <v>125</v>
      </c>
      <c r="G6" s="2">
        <v>250</v>
      </c>
      <c r="H6" s="51" t="s">
        <v>24</v>
      </c>
    </row>
    <row r="7" spans="1:17" hidden="1" outlineLevel="2" x14ac:dyDescent="0.3">
      <c r="A7" s="50" t="s">
        <v>20</v>
      </c>
      <c r="B7" s="2" t="s">
        <v>35</v>
      </c>
      <c r="C7" s="2" t="s">
        <v>36</v>
      </c>
      <c r="D7" s="2" t="s">
        <v>39</v>
      </c>
      <c r="E7" s="2">
        <v>50</v>
      </c>
      <c r="F7" s="2">
        <v>500</v>
      </c>
      <c r="G7" s="2">
        <v>25000</v>
      </c>
      <c r="H7" s="51" t="s">
        <v>30</v>
      </c>
    </row>
    <row r="8" spans="1:17" hidden="1" outlineLevel="2" x14ac:dyDescent="0.3">
      <c r="A8" s="52" t="s">
        <v>20</v>
      </c>
      <c r="B8" s="3" t="s">
        <v>35</v>
      </c>
      <c r="C8" s="3" t="s">
        <v>40</v>
      </c>
      <c r="D8" s="3" t="s">
        <v>39</v>
      </c>
      <c r="E8" s="3">
        <v>28</v>
      </c>
      <c r="F8" s="3">
        <v>500</v>
      </c>
      <c r="G8" s="3">
        <v>14000</v>
      </c>
      <c r="H8" s="53" t="s">
        <v>30</v>
      </c>
    </row>
    <row r="9" spans="1:17" hidden="1" outlineLevel="2" x14ac:dyDescent="0.3">
      <c r="A9" s="50" t="s">
        <v>20</v>
      </c>
      <c r="B9" s="2" t="s">
        <v>21</v>
      </c>
      <c r="C9" s="2" t="s">
        <v>22</v>
      </c>
      <c r="D9" s="2" t="s">
        <v>39</v>
      </c>
      <c r="E9" s="2">
        <v>80</v>
      </c>
      <c r="F9" s="2">
        <v>500</v>
      </c>
      <c r="G9" s="2">
        <v>40000</v>
      </c>
      <c r="H9" s="51" t="s">
        <v>30</v>
      </c>
    </row>
    <row r="10" spans="1:17" hidden="1" outlineLevel="2" x14ac:dyDescent="0.3">
      <c r="A10" s="52" t="s">
        <v>20</v>
      </c>
      <c r="B10" s="3" t="s">
        <v>35</v>
      </c>
      <c r="C10" s="3" t="s">
        <v>41</v>
      </c>
      <c r="D10" s="3" t="s">
        <v>39</v>
      </c>
      <c r="E10" s="3">
        <v>94</v>
      </c>
      <c r="F10" s="3">
        <v>500</v>
      </c>
      <c r="G10" s="3">
        <v>47000</v>
      </c>
      <c r="H10" s="53" t="s">
        <v>30</v>
      </c>
      <c r="Q10">
        <f>SUMIF('Some Advance Maths'!$A$2:$A$46,"Central",'Some Advance Maths'!$G$2:$G$46)</f>
        <v>829769.5</v>
      </c>
    </row>
    <row r="11" spans="1:17" hidden="1" outlineLevel="2" x14ac:dyDescent="0.3">
      <c r="A11" s="52" t="s">
        <v>20</v>
      </c>
      <c r="B11" s="3" t="s">
        <v>35</v>
      </c>
      <c r="C11" s="3" t="s">
        <v>40</v>
      </c>
      <c r="D11" s="3" t="s">
        <v>45</v>
      </c>
      <c r="E11" s="3">
        <v>90</v>
      </c>
      <c r="F11" s="3">
        <v>1198</v>
      </c>
      <c r="G11" s="3">
        <v>107820</v>
      </c>
      <c r="H11" s="53" t="s">
        <v>30</v>
      </c>
    </row>
    <row r="12" spans="1:17" hidden="1" outlineLevel="2" x14ac:dyDescent="0.3">
      <c r="A12" s="52" t="s">
        <v>20</v>
      </c>
      <c r="B12" s="3" t="s">
        <v>35</v>
      </c>
      <c r="C12" s="3" t="s">
        <v>36</v>
      </c>
      <c r="D12" s="3" t="s">
        <v>46</v>
      </c>
      <c r="E12" s="3">
        <v>96</v>
      </c>
      <c r="F12" s="3">
        <v>58.5</v>
      </c>
      <c r="G12" s="3">
        <v>5616</v>
      </c>
      <c r="H12" s="53" t="s">
        <v>24</v>
      </c>
      <c r="Q12">
        <f>SUMIFS('Some Advance Maths'!$G$2:$G$46,'Some Advance Maths'!$A$2:$A$46,"Central",'Some Advance Maths'!$H$2:$H$46,"CASH")</f>
        <v>233820</v>
      </c>
    </row>
    <row r="13" spans="1:17" hidden="1" outlineLevel="2" x14ac:dyDescent="0.3">
      <c r="A13" s="50" t="s">
        <v>20</v>
      </c>
      <c r="B13" s="2" t="s">
        <v>31</v>
      </c>
      <c r="C13" s="2" t="s">
        <v>38</v>
      </c>
      <c r="D13" s="2" t="s">
        <v>45</v>
      </c>
      <c r="E13" s="2">
        <v>67</v>
      </c>
      <c r="F13" s="2">
        <v>1198</v>
      </c>
      <c r="G13" s="2">
        <v>80266</v>
      </c>
      <c r="H13" s="51" t="s">
        <v>33</v>
      </c>
    </row>
    <row r="14" spans="1:17" hidden="1" outlineLevel="2" x14ac:dyDescent="0.3">
      <c r="A14" s="50" t="s">
        <v>20</v>
      </c>
      <c r="B14" s="2" t="s">
        <v>21</v>
      </c>
      <c r="C14" s="2" t="s">
        <v>22</v>
      </c>
      <c r="D14" s="2" t="s">
        <v>39</v>
      </c>
      <c r="E14" s="2">
        <v>46</v>
      </c>
      <c r="F14" s="2">
        <v>500</v>
      </c>
      <c r="G14" s="2">
        <v>23000</v>
      </c>
      <c r="H14" s="51" t="s">
        <v>24</v>
      </c>
    </row>
    <row r="15" spans="1:17" hidden="1" outlineLevel="2" x14ac:dyDescent="0.3">
      <c r="A15" s="52" t="s">
        <v>20</v>
      </c>
      <c r="B15" s="3" t="s">
        <v>31</v>
      </c>
      <c r="C15" s="3" t="s">
        <v>38</v>
      </c>
      <c r="D15" s="3" t="s">
        <v>39</v>
      </c>
      <c r="E15" s="3">
        <v>87</v>
      </c>
      <c r="F15" s="3">
        <v>500</v>
      </c>
      <c r="G15" s="3">
        <v>43500</v>
      </c>
      <c r="H15" s="53" t="s">
        <v>43</v>
      </c>
    </row>
    <row r="16" spans="1:17" hidden="1" outlineLevel="2" x14ac:dyDescent="0.3">
      <c r="A16" s="50" t="s">
        <v>20</v>
      </c>
      <c r="B16" s="2" t="s">
        <v>35</v>
      </c>
      <c r="C16" s="2" t="s">
        <v>41</v>
      </c>
      <c r="D16" s="2" t="s">
        <v>46</v>
      </c>
      <c r="E16" s="2">
        <v>50</v>
      </c>
      <c r="F16" s="2">
        <v>58.5</v>
      </c>
      <c r="G16" s="2">
        <v>2925</v>
      </c>
      <c r="H16" s="51" t="s">
        <v>24</v>
      </c>
    </row>
    <row r="17" spans="1:8" hidden="1" outlineLevel="2" x14ac:dyDescent="0.3">
      <c r="A17" s="50" t="s">
        <v>20</v>
      </c>
      <c r="B17" s="2" t="s">
        <v>28</v>
      </c>
      <c r="C17" s="2" t="s">
        <v>42</v>
      </c>
      <c r="D17" s="2" t="s">
        <v>45</v>
      </c>
      <c r="E17" s="2">
        <v>66</v>
      </c>
      <c r="F17" s="2">
        <v>1198</v>
      </c>
      <c r="G17" s="2">
        <v>79068</v>
      </c>
      <c r="H17" s="51" t="s">
        <v>33</v>
      </c>
    </row>
    <row r="18" spans="1:8" hidden="1" outlineLevel="2" x14ac:dyDescent="0.3">
      <c r="A18" s="50" t="s">
        <v>20</v>
      </c>
      <c r="B18" s="2" t="s">
        <v>21</v>
      </c>
      <c r="C18" s="2" t="s">
        <v>22</v>
      </c>
      <c r="D18" s="2" t="s">
        <v>45</v>
      </c>
      <c r="E18" s="2">
        <v>53</v>
      </c>
      <c r="F18" s="2">
        <v>1198</v>
      </c>
      <c r="G18" s="2">
        <v>63494</v>
      </c>
      <c r="H18" s="51" t="s">
        <v>43</v>
      </c>
    </row>
    <row r="19" spans="1:8" hidden="1" outlineLevel="2" x14ac:dyDescent="0.3">
      <c r="A19" s="52" t="s">
        <v>20</v>
      </c>
      <c r="B19" s="3" t="s">
        <v>35</v>
      </c>
      <c r="C19" s="3" t="s">
        <v>36</v>
      </c>
      <c r="D19" s="3" t="s">
        <v>37</v>
      </c>
      <c r="E19" s="3">
        <v>5</v>
      </c>
      <c r="F19" s="3">
        <v>125</v>
      </c>
      <c r="G19" s="3">
        <v>625</v>
      </c>
      <c r="H19" s="53" t="s">
        <v>33</v>
      </c>
    </row>
    <row r="20" spans="1:8" hidden="1" outlineLevel="2" x14ac:dyDescent="0.3">
      <c r="A20" s="50" t="s">
        <v>20</v>
      </c>
      <c r="B20" s="2" t="s">
        <v>35</v>
      </c>
      <c r="C20" s="2" t="s">
        <v>40</v>
      </c>
      <c r="D20" s="2" t="s">
        <v>46</v>
      </c>
      <c r="E20" s="2">
        <v>55</v>
      </c>
      <c r="F20" s="2">
        <v>58.5</v>
      </c>
      <c r="G20" s="2">
        <v>3217.5</v>
      </c>
      <c r="H20" s="51" t="s">
        <v>33</v>
      </c>
    </row>
    <row r="21" spans="1:8" hidden="1" outlineLevel="2" x14ac:dyDescent="0.3">
      <c r="A21" s="50" t="s">
        <v>20</v>
      </c>
      <c r="B21" s="2" t="s">
        <v>35</v>
      </c>
      <c r="C21" s="2" t="s">
        <v>36</v>
      </c>
      <c r="D21" s="2" t="s">
        <v>46</v>
      </c>
      <c r="E21" s="2">
        <v>42</v>
      </c>
      <c r="F21" s="2">
        <v>58.5</v>
      </c>
      <c r="G21" s="2">
        <v>2457</v>
      </c>
      <c r="H21" s="51" t="s">
        <v>24</v>
      </c>
    </row>
    <row r="22" spans="1:8" hidden="1" outlineLevel="2" x14ac:dyDescent="0.3">
      <c r="A22" s="50" t="s">
        <v>20</v>
      </c>
      <c r="B22" s="2" t="s">
        <v>21</v>
      </c>
      <c r="C22" s="2" t="s">
        <v>22</v>
      </c>
      <c r="D22" s="2" t="s">
        <v>45</v>
      </c>
      <c r="E22" s="2">
        <v>7</v>
      </c>
      <c r="F22" s="2">
        <v>1198</v>
      </c>
      <c r="G22" s="2">
        <v>8386</v>
      </c>
      <c r="H22" s="51" t="s">
        <v>33</v>
      </c>
    </row>
    <row r="23" spans="1:8" hidden="1" outlineLevel="2" x14ac:dyDescent="0.3">
      <c r="A23" s="50" t="s">
        <v>20</v>
      </c>
      <c r="B23" s="2" t="s">
        <v>28</v>
      </c>
      <c r="C23" s="2" t="s">
        <v>42</v>
      </c>
      <c r="D23" s="2" t="s">
        <v>45</v>
      </c>
      <c r="E23" s="2">
        <v>14</v>
      </c>
      <c r="F23" s="2">
        <v>1198</v>
      </c>
      <c r="G23" s="2">
        <v>16772</v>
      </c>
      <c r="H23" s="51" t="s">
        <v>33</v>
      </c>
    </row>
    <row r="24" spans="1:8" hidden="1" outlineLevel="2" x14ac:dyDescent="0.3">
      <c r="A24" s="50" t="s">
        <v>20</v>
      </c>
      <c r="B24" s="2" t="s">
        <v>35</v>
      </c>
      <c r="C24" s="2" t="s">
        <v>41</v>
      </c>
      <c r="D24" s="2" t="s">
        <v>39</v>
      </c>
      <c r="E24" s="2">
        <v>11</v>
      </c>
      <c r="F24" s="2">
        <v>500</v>
      </c>
      <c r="G24" s="2">
        <v>5500</v>
      </c>
      <c r="H24" s="51" t="s">
        <v>33</v>
      </c>
    </row>
    <row r="25" spans="1:8" hidden="1" outlineLevel="2" x14ac:dyDescent="0.3">
      <c r="A25" s="50" t="s">
        <v>20</v>
      </c>
      <c r="B25" s="2" t="s">
        <v>28</v>
      </c>
      <c r="C25" s="2" t="s">
        <v>42</v>
      </c>
      <c r="D25" s="2" t="s">
        <v>39</v>
      </c>
      <c r="E25" s="2">
        <v>28</v>
      </c>
      <c r="F25" s="2">
        <v>500</v>
      </c>
      <c r="G25" s="2">
        <v>14000</v>
      </c>
      <c r="H25" s="51" t="s">
        <v>33</v>
      </c>
    </row>
    <row r="26" spans="1:8" outlineLevel="1" collapsed="1" x14ac:dyDescent="0.3">
      <c r="A26" s="55" t="s">
        <v>73</v>
      </c>
      <c r="B26" s="2"/>
      <c r="C26" s="2"/>
      <c r="D26" s="2"/>
      <c r="E26" s="57">
        <f>SUBTOTAL(9,E2:E25)</f>
        <v>1199</v>
      </c>
      <c r="F26" s="57">
        <f>SUBTOTAL(9,F2:F25)</f>
        <v>15491</v>
      </c>
      <c r="G26" s="57">
        <f>SUBTOTAL(9,G2:G25)</f>
        <v>829769.5</v>
      </c>
      <c r="H26" s="51"/>
    </row>
    <row r="27" spans="1:8" hidden="1" outlineLevel="2" x14ac:dyDescent="0.3">
      <c r="A27" s="50" t="s">
        <v>27</v>
      </c>
      <c r="B27" s="2" t="s">
        <v>28</v>
      </c>
      <c r="C27" s="2" t="s">
        <v>34</v>
      </c>
      <c r="D27" s="2" t="s">
        <v>45</v>
      </c>
      <c r="E27" s="2">
        <v>95</v>
      </c>
      <c r="F27" s="2">
        <v>1198</v>
      </c>
      <c r="G27" s="2">
        <v>113810</v>
      </c>
      <c r="H27" s="51" t="s">
        <v>43</v>
      </c>
    </row>
    <row r="28" spans="1:8" hidden="1" outlineLevel="2" x14ac:dyDescent="0.3">
      <c r="A28" s="50" t="s">
        <v>27</v>
      </c>
      <c r="B28" s="2" t="s">
        <v>28</v>
      </c>
      <c r="C28" s="2" t="s">
        <v>34</v>
      </c>
      <c r="D28" s="2" t="s">
        <v>45</v>
      </c>
      <c r="E28" s="2">
        <v>35</v>
      </c>
      <c r="F28" s="2">
        <v>1198</v>
      </c>
      <c r="G28" s="2">
        <v>41930</v>
      </c>
      <c r="H28" s="51" t="s">
        <v>33</v>
      </c>
    </row>
    <row r="29" spans="1:8" hidden="1" outlineLevel="2" x14ac:dyDescent="0.3">
      <c r="A29" s="50" t="s">
        <v>27</v>
      </c>
      <c r="B29" s="2" t="s">
        <v>28</v>
      </c>
      <c r="C29" s="2" t="s">
        <v>34</v>
      </c>
      <c r="D29" s="2" t="s">
        <v>46</v>
      </c>
      <c r="E29" s="2">
        <v>16</v>
      </c>
      <c r="F29" s="2">
        <v>58.5</v>
      </c>
      <c r="G29" s="2">
        <v>936</v>
      </c>
      <c r="H29" s="51" t="s">
        <v>43</v>
      </c>
    </row>
    <row r="30" spans="1:8" hidden="1" outlineLevel="2" x14ac:dyDescent="0.3">
      <c r="A30" s="50" t="s">
        <v>27</v>
      </c>
      <c r="B30" s="2" t="s">
        <v>28</v>
      </c>
      <c r="C30" s="2" t="s">
        <v>34</v>
      </c>
      <c r="D30" s="2" t="s">
        <v>23</v>
      </c>
      <c r="E30" s="2">
        <v>64</v>
      </c>
      <c r="F30" s="2">
        <v>225</v>
      </c>
      <c r="G30" s="2">
        <v>14400</v>
      </c>
      <c r="H30" s="51" t="s">
        <v>24</v>
      </c>
    </row>
    <row r="31" spans="1:8" hidden="1" outlineLevel="2" x14ac:dyDescent="0.3">
      <c r="A31" s="52" t="s">
        <v>27</v>
      </c>
      <c r="B31" s="3" t="s">
        <v>31</v>
      </c>
      <c r="C31" s="3" t="s">
        <v>32</v>
      </c>
      <c r="D31" s="3" t="s">
        <v>23</v>
      </c>
      <c r="E31" s="3">
        <v>15</v>
      </c>
      <c r="F31" s="3">
        <v>225</v>
      </c>
      <c r="G31" s="3">
        <v>3375</v>
      </c>
      <c r="H31" s="53" t="s">
        <v>33</v>
      </c>
    </row>
    <row r="32" spans="1:8" hidden="1" outlineLevel="2" x14ac:dyDescent="0.3">
      <c r="A32" s="50" t="s">
        <v>27</v>
      </c>
      <c r="B32" s="2" t="s">
        <v>28</v>
      </c>
      <c r="C32" s="2" t="s">
        <v>34</v>
      </c>
      <c r="D32" s="2" t="s">
        <v>39</v>
      </c>
      <c r="E32" s="2">
        <v>60</v>
      </c>
      <c r="F32" s="2">
        <v>500</v>
      </c>
      <c r="G32" s="2">
        <v>30000</v>
      </c>
      <c r="H32" s="51" t="s">
        <v>30</v>
      </c>
    </row>
    <row r="33" spans="1:8" hidden="1" outlineLevel="2" x14ac:dyDescent="0.3">
      <c r="A33" s="52" t="s">
        <v>27</v>
      </c>
      <c r="B33" s="3" t="s">
        <v>28</v>
      </c>
      <c r="C33" s="3" t="s">
        <v>34</v>
      </c>
      <c r="D33" s="3" t="s">
        <v>39</v>
      </c>
      <c r="E33" s="3">
        <v>4</v>
      </c>
      <c r="F33" s="3">
        <v>500</v>
      </c>
      <c r="G33" s="3">
        <v>2000</v>
      </c>
      <c r="H33" s="53" t="s">
        <v>30</v>
      </c>
    </row>
    <row r="34" spans="1:8" hidden="1" outlineLevel="2" x14ac:dyDescent="0.3">
      <c r="A34" s="50" t="s">
        <v>27</v>
      </c>
      <c r="B34" s="2" t="s">
        <v>28</v>
      </c>
      <c r="C34" s="2" t="s">
        <v>29</v>
      </c>
      <c r="D34" s="2" t="s">
        <v>39</v>
      </c>
      <c r="E34" s="2">
        <v>29</v>
      </c>
      <c r="F34" s="2">
        <v>500</v>
      </c>
      <c r="G34" s="2">
        <v>14500</v>
      </c>
      <c r="H34" s="51" t="s">
        <v>33</v>
      </c>
    </row>
    <row r="35" spans="1:8" hidden="1" outlineLevel="2" x14ac:dyDescent="0.3">
      <c r="A35" s="52" t="s">
        <v>27</v>
      </c>
      <c r="B35" s="3" t="s">
        <v>31</v>
      </c>
      <c r="C35" s="3" t="s">
        <v>32</v>
      </c>
      <c r="D35" s="3" t="s">
        <v>39</v>
      </c>
      <c r="E35" s="3">
        <v>81</v>
      </c>
      <c r="F35" s="3">
        <v>500</v>
      </c>
      <c r="G35" s="3">
        <v>40500</v>
      </c>
      <c r="H35" s="53" t="s">
        <v>24</v>
      </c>
    </row>
    <row r="36" spans="1:8" hidden="1" outlineLevel="2" x14ac:dyDescent="0.3">
      <c r="A36" s="50" t="s">
        <v>27</v>
      </c>
      <c r="B36" s="2" t="s">
        <v>28</v>
      </c>
      <c r="C36" s="2" t="s">
        <v>34</v>
      </c>
      <c r="D36" s="2" t="s">
        <v>39</v>
      </c>
      <c r="E36" s="2">
        <v>60</v>
      </c>
      <c r="F36" s="2">
        <v>500</v>
      </c>
      <c r="G36" s="2">
        <v>30000</v>
      </c>
      <c r="H36" s="51" t="s">
        <v>43</v>
      </c>
    </row>
    <row r="37" spans="1:8" hidden="1" outlineLevel="2" x14ac:dyDescent="0.3">
      <c r="A37" s="52" t="s">
        <v>27</v>
      </c>
      <c r="B37" s="3" t="s">
        <v>31</v>
      </c>
      <c r="C37" s="3" t="s">
        <v>32</v>
      </c>
      <c r="D37" s="3" t="s">
        <v>46</v>
      </c>
      <c r="E37" s="3">
        <v>74</v>
      </c>
      <c r="F37" s="3">
        <v>58.5</v>
      </c>
      <c r="G37" s="3">
        <v>4329</v>
      </c>
      <c r="H37" s="53" t="s">
        <v>33</v>
      </c>
    </row>
    <row r="38" spans="1:8" hidden="1" outlineLevel="2" x14ac:dyDescent="0.3">
      <c r="A38" s="50" t="s">
        <v>27</v>
      </c>
      <c r="B38" s="2" t="s">
        <v>28</v>
      </c>
      <c r="C38" s="2" t="s">
        <v>29</v>
      </c>
      <c r="D38" s="2" t="s">
        <v>23</v>
      </c>
      <c r="E38" s="2">
        <v>96</v>
      </c>
      <c r="F38" s="2">
        <v>225</v>
      </c>
      <c r="G38" s="2">
        <v>21600</v>
      </c>
      <c r="H38" s="51" t="s">
        <v>30</v>
      </c>
    </row>
    <row r="39" spans="1:8" hidden="1" outlineLevel="2" x14ac:dyDescent="0.3">
      <c r="A39" s="50" t="s">
        <v>27</v>
      </c>
      <c r="B39" s="2" t="s">
        <v>28</v>
      </c>
      <c r="C39" s="2" t="s">
        <v>34</v>
      </c>
      <c r="D39" s="2" t="s">
        <v>46</v>
      </c>
      <c r="E39" s="2">
        <v>62</v>
      </c>
      <c r="F39" s="2">
        <v>58.5</v>
      </c>
      <c r="G39" s="2">
        <v>3627</v>
      </c>
      <c r="H39" s="51" t="s">
        <v>30</v>
      </c>
    </row>
    <row r="40" spans="1:8" outlineLevel="1" collapsed="1" x14ac:dyDescent="0.3">
      <c r="A40" s="55" t="s">
        <v>74</v>
      </c>
      <c r="B40" s="2"/>
      <c r="C40" s="2"/>
      <c r="D40" s="2"/>
      <c r="E40" s="57">
        <f>SUBTOTAL(9,E27:E39)</f>
        <v>691</v>
      </c>
      <c r="F40" s="57">
        <f>SUBTOTAL(9,F27:F39)</f>
        <v>5746.5</v>
      </c>
      <c r="G40" s="57">
        <f>SUBTOTAL(9,G27:G39)</f>
        <v>321007</v>
      </c>
      <c r="H40" s="51"/>
    </row>
    <row r="41" spans="1:8" hidden="1" outlineLevel="2" x14ac:dyDescent="0.3">
      <c r="A41" s="52" t="s">
        <v>25</v>
      </c>
      <c r="B41" s="3" t="s">
        <v>21</v>
      </c>
      <c r="C41" s="3" t="s">
        <v>26</v>
      </c>
      <c r="D41" s="3" t="s">
        <v>45</v>
      </c>
      <c r="E41" s="3">
        <v>56</v>
      </c>
      <c r="F41" s="3">
        <v>1198</v>
      </c>
      <c r="G41" s="3">
        <v>67088</v>
      </c>
      <c r="H41" s="53" t="s">
        <v>43</v>
      </c>
    </row>
    <row r="42" spans="1:8" hidden="1" outlineLevel="2" x14ac:dyDescent="0.3">
      <c r="A42" s="52" t="s">
        <v>25</v>
      </c>
      <c r="B42" s="3" t="s">
        <v>21</v>
      </c>
      <c r="C42" s="3" t="s">
        <v>26</v>
      </c>
      <c r="D42" s="3" t="s">
        <v>37</v>
      </c>
      <c r="E42" s="3">
        <v>3</v>
      </c>
      <c r="F42" s="3">
        <v>125</v>
      </c>
      <c r="G42" s="3">
        <v>375</v>
      </c>
      <c r="H42" s="53" t="s">
        <v>30</v>
      </c>
    </row>
    <row r="43" spans="1:8" hidden="1" outlineLevel="2" x14ac:dyDescent="0.3">
      <c r="A43" s="50" t="s">
        <v>25</v>
      </c>
      <c r="B43" s="2" t="s">
        <v>31</v>
      </c>
      <c r="C43" s="2" t="s">
        <v>44</v>
      </c>
      <c r="D43" s="2" t="s">
        <v>45</v>
      </c>
      <c r="E43" s="2">
        <v>32</v>
      </c>
      <c r="F43" s="2">
        <v>1198</v>
      </c>
      <c r="G43" s="2">
        <v>38336</v>
      </c>
      <c r="H43" s="51" t="s">
        <v>30</v>
      </c>
    </row>
    <row r="44" spans="1:8" hidden="1" outlineLevel="2" x14ac:dyDescent="0.3">
      <c r="A44" s="50" t="s">
        <v>25</v>
      </c>
      <c r="B44" s="2" t="s">
        <v>21</v>
      </c>
      <c r="C44" s="2" t="s">
        <v>26</v>
      </c>
      <c r="D44" s="2" t="s">
        <v>39</v>
      </c>
      <c r="E44" s="2">
        <v>7</v>
      </c>
      <c r="F44" s="2">
        <v>500</v>
      </c>
      <c r="G44" s="2">
        <v>3500</v>
      </c>
      <c r="H44" s="51" t="s">
        <v>33</v>
      </c>
    </row>
    <row r="45" spans="1:8" hidden="1" outlineLevel="2" x14ac:dyDescent="0.3">
      <c r="A45" s="50" t="s">
        <v>25</v>
      </c>
      <c r="B45" s="2" t="s">
        <v>21</v>
      </c>
      <c r="C45" s="2" t="s">
        <v>26</v>
      </c>
      <c r="D45" s="2" t="s">
        <v>23</v>
      </c>
      <c r="E45" s="2">
        <v>76</v>
      </c>
      <c r="F45" s="2">
        <v>225</v>
      </c>
      <c r="G45" s="2">
        <v>17100</v>
      </c>
      <c r="H45" s="51" t="s">
        <v>24</v>
      </c>
    </row>
    <row r="46" spans="1:8" hidden="1" outlineLevel="2" x14ac:dyDescent="0.3">
      <c r="A46" s="45" t="s">
        <v>25</v>
      </c>
      <c r="B46" s="7" t="s">
        <v>31</v>
      </c>
      <c r="C46" s="7" t="s">
        <v>44</v>
      </c>
      <c r="D46" s="7" t="s">
        <v>39</v>
      </c>
      <c r="E46" s="7">
        <v>57</v>
      </c>
      <c r="F46" s="7">
        <v>500</v>
      </c>
      <c r="G46" s="7">
        <v>28500</v>
      </c>
      <c r="H46" s="8" t="s">
        <v>30</v>
      </c>
    </row>
    <row r="47" spans="1:8" outlineLevel="1" collapsed="1" x14ac:dyDescent="0.3">
      <c r="A47" s="56" t="s">
        <v>75</v>
      </c>
      <c r="B47" s="54"/>
      <c r="C47" s="54"/>
      <c r="D47" s="54"/>
      <c r="E47" s="56">
        <f>SUBTOTAL(9,E41:E46)</f>
        <v>231</v>
      </c>
      <c r="F47" s="56">
        <f>SUBTOTAL(9,F41:F46)</f>
        <v>3746</v>
      </c>
      <c r="G47" s="56">
        <f>SUBTOTAL(9,G41:G46)</f>
        <v>154899</v>
      </c>
      <c r="H47" s="54"/>
    </row>
    <row r="48" spans="1:8" x14ac:dyDescent="0.3">
      <c r="A48" s="56" t="s">
        <v>48</v>
      </c>
      <c r="B48" s="54"/>
      <c r="C48" s="54"/>
      <c r="D48" s="54"/>
      <c r="E48" s="56">
        <f>SUBTOTAL(9,E2:E46)</f>
        <v>2121</v>
      </c>
      <c r="F48" s="56">
        <f>SUBTOTAL(9,F2:F46)</f>
        <v>24983.5</v>
      </c>
      <c r="G48" s="56">
        <f>SUBTOTAL(9,G2:G46)</f>
        <v>1305675.5</v>
      </c>
      <c r="H48" s="54"/>
    </row>
    <row r="49" spans="1:8" x14ac:dyDescent="0.3">
      <c r="A49" s="54"/>
      <c r="B49" s="54"/>
      <c r="C49" s="54"/>
      <c r="D49" s="54"/>
      <c r="E49" s="54"/>
      <c r="F49" s="54"/>
      <c r="G49" s="54"/>
      <c r="H49" s="54"/>
    </row>
  </sheetData>
  <sortState ref="A2:H46">
    <sortCondition ref="A2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5635-0AC0-4070-8D92-B54F215509BE}">
  <dimension ref="B4:Q19"/>
  <sheetViews>
    <sheetView workbookViewId="0">
      <selection activeCell="B4" sqref="B4:C8"/>
    </sheetView>
  </sheetViews>
  <sheetFormatPr defaultRowHeight="14.4" x14ac:dyDescent="0.3"/>
  <sheetData>
    <row r="4" spans="2:17" x14ac:dyDescent="0.3">
      <c r="B4" s="23" t="s">
        <v>51</v>
      </c>
      <c r="C4" s="23">
        <v>500</v>
      </c>
      <c r="F4">
        <f>C4*C5*C6</f>
        <v>27500</v>
      </c>
    </row>
    <row r="5" spans="2:17" x14ac:dyDescent="0.3">
      <c r="B5" s="23" t="s">
        <v>52</v>
      </c>
      <c r="C5" s="23">
        <v>55</v>
      </c>
      <c r="E5">
        <v>500</v>
      </c>
      <c r="F5">
        <f t="dataTable" ref="F5:F18" dt2D="0" dtr="0" r1="C4"/>
        <v>27500</v>
      </c>
    </row>
    <row r="6" spans="2:17" x14ac:dyDescent="0.3">
      <c r="B6" s="23" t="s">
        <v>3</v>
      </c>
      <c r="C6" s="23">
        <v>1</v>
      </c>
      <c r="E6">
        <v>600</v>
      </c>
      <c r="F6">
        <v>33000</v>
      </c>
    </row>
    <row r="7" spans="2:17" x14ac:dyDescent="0.3">
      <c r="B7" s="23"/>
      <c r="C7" s="23"/>
      <c r="E7">
        <v>700</v>
      </c>
      <c r="F7">
        <v>38500</v>
      </c>
      <c r="I7">
        <f>C4*C5*C6</f>
        <v>27500</v>
      </c>
      <c r="J7">
        <v>1</v>
      </c>
      <c r="K7">
        <v>2</v>
      </c>
      <c r="L7">
        <v>3</v>
      </c>
      <c r="M7">
        <v>4</v>
      </c>
      <c r="N7">
        <v>5</v>
      </c>
      <c r="O7">
        <v>6</v>
      </c>
      <c r="P7">
        <v>7</v>
      </c>
      <c r="Q7">
        <v>8</v>
      </c>
    </row>
    <row r="8" spans="2:17" x14ac:dyDescent="0.3">
      <c r="B8" s="23" t="s">
        <v>53</v>
      </c>
      <c r="C8" s="23">
        <f>C4*C5*C6</f>
        <v>27500</v>
      </c>
      <c r="E8">
        <v>800</v>
      </c>
      <c r="F8">
        <v>44000</v>
      </c>
      <c r="I8">
        <v>500</v>
      </c>
      <c r="J8">
        <f t="dataTable" ref="J8:Q19" dt2D="1" dtr="1" r1="C6" r2="C4" ca="1"/>
        <v>27500</v>
      </c>
      <c r="K8">
        <v>55000</v>
      </c>
      <c r="L8">
        <v>82500</v>
      </c>
      <c r="M8">
        <v>110000</v>
      </c>
      <c r="N8">
        <v>137500</v>
      </c>
      <c r="O8">
        <v>165000</v>
      </c>
      <c r="P8">
        <v>192500</v>
      </c>
      <c r="Q8">
        <v>220000</v>
      </c>
    </row>
    <row r="9" spans="2:17" x14ac:dyDescent="0.3">
      <c r="E9">
        <v>900</v>
      </c>
      <c r="F9">
        <v>49500</v>
      </c>
      <c r="I9">
        <v>600</v>
      </c>
      <c r="J9">
        <v>33000</v>
      </c>
      <c r="K9">
        <v>66000</v>
      </c>
      <c r="L9">
        <v>99000</v>
      </c>
      <c r="M9">
        <v>132000</v>
      </c>
      <c r="N9">
        <v>165000</v>
      </c>
      <c r="O9">
        <v>198000</v>
      </c>
      <c r="P9">
        <v>231000</v>
      </c>
      <c r="Q9">
        <v>264000</v>
      </c>
    </row>
    <row r="10" spans="2:17" x14ac:dyDescent="0.3">
      <c r="E10">
        <v>1000</v>
      </c>
      <c r="F10">
        <v>55000</v>
      </c>
      <c r="I10">
        <v>700</v>
      </c>
      <c r="J10">
        <v>38500</v>
      </c>
      <c r="K10">
        <v>77000</v>
      </c>
      <c r="L10">
        <v>115500</v>
      </c>
      <c r="M10">
        <v>154000</v>
      </c>
      <c r="N10">
        <v>192500</v>
      </c>
      <c r="O10">
        <v>231000</v>
      </c>
      <c r="P10">
        <v>269500</v>
      </c>
      <c r="Q10">
        <v>308000</v>
      </c>
    </row>
    <row r="11" spans="2:17" x14ac:dyDescent="0.3">
      <c r="E11">
        <v>1100</v>
      </c>
      <c r="F11">
        <v>60500</v>
      </c>
      <c r="I11">
        <v>800</v>
      </c>
      <c r="J11">
        <v>44000</v>
      </c>
      <c r="K11">
        <v>88000</v>
      </c>
      <c r="L11">
        <v>132000</v>
      </c>
      <c r="M11">
        <v>176000</v>
      </c>
      <c r="N11">
        <v>220000</v>
      </c>
      <c r="O11">
        <v>264000</v>
      </c>
      <c r="P11">
        <v>308000</v>
      </c>
      <c r="Q11">
        <v>352000</v>
      </c>
    </row>
    <row r="12" spans="2:17" x14ac:dyDescent="0.3">
      <c r="E12">
        <v>1200</v>
      </c>
      <c r="F12">
        <v>66000</v>
      </c>
      <c r="I12">
        <v>900</v>
      </c>
      <c r="J12">
        <v>49500</v>
      </c>
      <c r="K12">
        <v>99000</v>
      </c>
      <c r="L12">
        <v>148500</v>
      </c>
      <c r="M12">
        <v>198000</v>
      </c>
      <c r="N12">
        <v>247500</v>
      </c>
      <c r="O12">
        <v>297000</v>
      </c>
      <c r="P12">
        <v>346500</v>
      </c>
      <c r="Q12">
        <v>396000</v>
      </c>
    </row>
    <row r="13" spans="2:17" x14ac:dyDescent="0.3">
      <c r="E13">
        <v>1300</v>
      </c>
      <c r="F13">
        <v>71500</v>
      </c>
      <c r="I13">
        <v>1000</v>
      </c>
      <c r="J13">
        <v>55000</v>
      </c>
      <c r="K13">
        <v>110000</v>
      </c>
      <c r="L13">
        <v>165000</v>
      </c>
      <c r="M13">
        <v>220000</v>
      </c>
      <c r="N13">
        <v>275000</v>
      </c>
      <c r="O13">
        <v>330000</v>
      </c>
      <c r="P13">
        <v>385000</v>
      </c>
      <c r="Q13">
        <v>440000</v>
      </c>
    </row>
    <row r="14" spans="2:17" x14ac:dyDescent="0.3">
      <c r="E14">
        <v>1400</v>
      </c>
      <c r="F14">
        <v>77000</v>
      </c>
      <c r="I14">
        <v>1100</v>
      </c>
      <c r="J14">
        <v>60500</v>
      </c>
      <c r="K14">
        <v>121000</v>
      </c>
      <c r="L14">
        <v>181500</v>
      </c>
      <c r="M14">
        <v>242000</v>
      </c>
      <c r="N14">
        <v>302500</v>
      </c>
      <c r="O14">
        <v>363000</v>
      </c>
      <c r="P14">
        <v>423500</v>
      </c>
      <c r="Q14">
        <v>484000</v>
      </c>
    </row>
    <row r="15" spans="2:17" x14ac:dyDescent="0.3">
      <c r="E15">
        <v>1500</v>
      </c>
      <c r="F15">
        <v>82500</v>
      </c>
      <c r="I15">
        <v>1200</v>
      </c>
      <c r="J15">
        <v>66000</v>
      </c>
      <c r="K15">
        <v>132000</v>
      </c>
      <c r="L15">
        <v>198000</v>
      </c>
      <c r="M15">
        <v>264000</v>
      </c>
      <c r="N15">
        <v>330000</v>
      </c>
      <c r="O15">
        <v>396000</v>
      </c>
      <c r="P15">
        <v>462000</v>
      </c>
      <c r="Q15">
        <v>528000</v>
      </c>
    </row>
    <row r="16" spans="2:17" x14ac:dyDescent="0.3">
      <c r="E16">
        <v>1600</v>
      </c>
      <c r="F16">
        <v>88000</v>
      </c>
      <c r="I16">
        <v>1300</v>
      </c>
      <c r="J16">
        <v>71500</v>
      </c>
      <c r="K16">
        <v>143000</v>
      </c>
      <c r="L16">
        <v>214500</v>
      </c>
      <c r="M16">
        <v>286000</v>
      </c>
      <c r="N16">
        <v>357500</v>
      </c>
      <c r="O16">
        <v>429000</v>
      </c>
      <c r="P16">
        <v>500500</v>
      </c>
      <c r="Q16">
        <v>572000</v>
      </c>
    </row>
    <row r="17" spans="5:17" x14ac:dyDescent="0.3">
      <c r="E17">
        <v>1700</v>
      </c>
      <c r="F17">
        <v>93500</v>
      </c>
      <c r="I17">
        <v>1400</v>
      </c>
      <c r="J17">
        <v>77000</v>
      </c>
      <c r="K17">
        <v>154000</v>
      </c>
      <c r="L17">
        <v>231000</v>
      </c>
      <c r="M17">
        <v>308000</v>
      </c>
      <c r="N17">
        <v>385000</v>
      </c>
      <c r="O17">
        <v>462000</v>
      </c>
      <c r="P17">
        <v>539000</v>
      </c>
      <c r="Q17">
        <v>616000</v>
      </c>
    </row>
    <row r="18" spans="5:17" x14ac:dyDescent="0.3">
      <c r="E18">
        <v>1800</v>
      </c>
      <c r="F18">
        <v>99000</v>
      </c>
      <c r="I18">
        <v>1500</v>
      </c>
      <c r="J18">
        <v>82500</v>
      </c>
      <c r="K18">
        <v>165000</v>
      </c>
      <c r="L18">
        <v>247500</v>
      </c>
      <c r="M18">
        <v>330000</v>
      </c>
      <c r="N18">
        <v>412500</v>
      </c>
      <c r="O18">
        <v>495000</v>
      </c>
      <c r="P18">
        <v>577500</v>
      </c>
      <c r="Q18">
        <v>660000</v>
      </c>
    </row>
    <row r="19" spans="5:17" x14ac:dyDescent="0.3">
      <c r="I19">
        <v>1600</v>
      </c>
      <c r="J19">
        <v>88000</v>
      </c>
      <c r="K19">
        <v>176000</v>
      </c>
      <c r="L19">
        <v>264000</v>
      </c>
      <c r="M19">
        <v>352000</v>
      </c>
      <c r="N19">
        <v>440000</v>
      </c>
      <c r="O19">
        <v>528000</v>
      </c>
      <c r="P19">
        <v>616000</v>
      </c>
      <c r="Q19">
        <v>704000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E60C8-A63A-4B30-948B-AC6F528DA81C}">
  <dimension ref="C5:O20"/>
  <sheetViews>
    <sheetView zoomScale="115" zoomScaleNormal="115" workbookViewId="0">
      <selection activeCell="J9" sqref="J9"/>
    </sheetView>
  </sheetViews>
  <sheetFormatPr defaultRowHeight="14.4" x14ac:dyDescent="0.3"/>
  <sheetData>
    <row r="5" spans="3:15" x14ac:dyDescent="0.3">
      <c r="C5" s="23" t="s">
        <v>51</v>
      </c>
      <c r="D5" s="23">
        <v>500</v>
      </c>
      <c r="G5">
        <f>D5*D6*D7</f>
        <v>30000</v>
      </c>
    </row>
    <row r="6" spans="3:15" x14ac:dyDescent="0.3">
      <c r="C6" s="23" t="s">
        <v>52</v>
      </c>
      <c r="D6" s="23">
        <v>60</v>
      </c>
      <c r="F6">
        <v>500</v>
      </c>
      <c r="G6">
        <f t="dataTable" ref="G6:G19" dt2D="0" dtr="0" r1="D5"/>
        <v>30000</v>
      </c>
      <c r="I6">
        <f>D5*D6*D7</f>
        <v>30000</v>
      </c>
      <c r="J6">
        <v>1</v>
      </c>
      <c r="K6">
        <v>2</v>
      </c>
      <c r="L6">
        <v>3</v>
      </c>
      <c r="M6">
        <v>4</v>
      </c>
      <c r="N6">
        <v>5</v>
      </c>
      <c r="O6">
        <v>6</v>
      </c>
    </row>
    <row r="7" spans="3:15" x14ac:dyDescent="0.3">
      <c r="C7" s="23" t="s">
        <v>3</v>
      </c>
      <c r="D7" s="23">
        <v>1</v>
      </c>
      <c r="F7">
        <v>600</v>
      </c>
      <c r="G7">
        <v>36000</v>
      </c>
      <c r="I7">
        <v>500</v>
      </c>
      <c r="J7">
        <f t="dataTable" ref="J7:O20" dt2D="1" dtr="1" r1="D7" r2="D5" ca="1"/>
        <v>30000</v>
      </c>
      <c r="K7">
        <v>60000</v>
      </c>
      <c r="L7">
        <v>90000</v>
      </c>
      <c r="M7">
        <v>120000</v>
      </c>
      <c r="N7">
        <v>150000</v>
      </c>
      <c r="O7">
        <v>180000</v>
      </c>
    </row>
    <row r="8" spans="3:15" x14ac:dyDescent="0.3">
      <c r="C8" s="23"/>
      <c r="D8" s="23"/>
      <c r="F8">
        <v>700</v>
      </c>
      <c r="G8">
        <v>42000</v>
      </c>
      <c r="I8">
        <v>600</v>
      </c>
      <c r="J8">
        <v>36000</v>
      </c>
      <c r="K8">
        <v>72000</v>
      </c>
      <c r="L8">
        <v>108000</v>
      </c>
      <c r="M8">
        <v>144000</v>
      </c>
      <c r="N8">
        <v>180000</v>
      </c>
      <c r="O8">
        <v>216000</v>
      </c>
    </row>
    <row r="9" spans="3:15" x14ac:dyDescent="0.3">
      <c r="C9" s="23" t="s">
        <v>53</v>
      </c>
      <c r="D9" s="23">
        <f>D5*D6*D7</f>
        <v>30000</v>
      </c>
      <c r="F9">
        <v>800</v>
      </c>
      <c r="G9">
        <v>48000</v>
      </c>
      <c r="I9">
        <v>700</v>
      </c>
      <c r="J9">
        <v>42000</v>
      </c>
      <c r="K9">
        <v>84000</v>
      </c>
      <c r="L9">
        <v>126000</v>
      </c>
      <c r="M9">
        <v>168000</v>
      </c>
      <c r="N9">
        <v>210000</v>
      </c>
      <c r="O9">
        <v>252000</v>
      </c>
    </row>
    <row r="10" spans="3:15" x14ac:dyDescent="0.3">
      <c r="F10">
        <v>900</v>
      </c>
      <c r="G10">
        <v>54000</v>
      </c>
      <c r="I10">
        <v>800</v>
      </c>
      <c r="J10">
        <v>48000</v>
      </c>
      <c r="K10">
        <v>96000</v>
      </c>
      <c r="L10">
        <v>144000</v>
      </c>
      <c r="M10">
        <v>192000</v>
      </c>
      <c r="N10">
        <v>240000</v>
      </c>
      <c r="O10">
        <v>288000</v>
      </c>
    </row>
    <row r="11" spans="3:15" x14ac:dyDescent="0.3">
      <c r="F11">
        <v>1000</v>
      </c>
      <c r="G11">
        <v>60000</v>
      </c>
      <c r="I11">
        <v>900</v>
      </c>
      <c r="J11">
        <v>54000</v>
      </c>
      <c r="K11">
        <v>108000</v>
      </c>
      <c r="L11">
        <v>162000</v>
      </c>
      <c r="M11">
        <v>216000</v>
      </c>
      <c r="N11">
        <v>270000</v>
      </c>
      <c r="O11">
        <v>324000</v>
      </c>
    </row>
    <row r="12" spans="3:15" x14ac:dyDescent="0.3">
      <c r="F12">
        <v>1100</v>
      </c>
      <c r="G12">
        <v>66000</v>
      </c>
      <c r="I12">
        <v>1000</v>
      </c>
      <c r="J12">
        <v>60000</v>
      </c>
      <c r="K12">
        <v>120000</v>
      </c>
      <c r="L12">
        <v>180000</v>
      </c>
      <c r="M12">
        <v>240000</v>
      </c>
      <c r="N12">
        <v>300000</v>
      </c>
      <c r="O12">
        <v>360000</v>
      </c>
    </row>
    <row r="13" spans="3:15" x14ac:dyDescent="0.3">
      <c r="F13">
        <v>1200</v>
      </c>
      <c r="G13">
        <v>72000</v>
      </c>
      <c r="I13">
        <v>1100</v>
      </c>
      <c r="J13">
        <v>66000</v>
      </c>
      <c r="K13">
        <v>132000</v>
      </c>
      <c r="L13">
        <v>198000</v>
      </c>
      <c r="M13">
        <v>264000</v>
      </c>
      <c r="N13">
        <v>330000</v>
      </c>
      <c r="O13">
        <v>396000</v>
      </c>
    </row>
    <row r="14" spans="3:15" x14ac:dyDescent="0.3">
      <c r="F14">
        <v>1300</v>
      </c>
      <c r="G14">
        <v>78000</v>
      </c>
      <c r="I14">
        <v>1200</v>
      </c>
      <c r="J14">
        <v>72000</v>
      </c>
      <c r="K14">
        <v>144000</v>
      </c>
      <c r="L14">
        <v>216000</v>
      </c>
      <c r="M14">
        <v>288000</v>
      </c>
      <c r="N14">
        <v>360000</v>
      </c>
      <c r="O14">
        <v>432000</v>
      </c>
    </row>
    <row r="15" spans="3:15" x14ac:dyDescent="0.3">
      <c r="F15">
        <v>1400</v>
      </c>
      <c r="G15">
        <v>84000</v>
      </c>
      <c r="I15">
        <v>1300</v>
      </c>
      <c r="J15">
        <v>78000</v>
      </c>
      <c r="K15">
        <v>156000</v>
      </c>
      <c r="L15">
        <v>234000</v>
      </c>
      <c r="M15">
        <v>312000</v>
      </c>
      <c r="N15">
        <v>390000</v>
      </c>
      <c r="O15">
        <v>468000</v>
      </c>
    </row>
    <row r="16" spans="3:15" x14ac:dyDescent="0.3">
      <c r="F16">
        <v>1500</v>
      </c>
      <c r="G16">
        <v>90000</v>
      </c>
      <c r="I16">
        <v>1400</v>
      </c>
      <c r="J16">
        <v>84000</v>
      </c>
      <c r="K16">
        <v>168000</v>
      </c>
      <c r="L16">
        <v>252000</v>
      </c>
      <c r="M16">
        <v>336000</v>
      </c>
      <c r="N16">
        <v>420000</v>
      </c>
      <c r="O16">
        <v>504000</v>
      </c>
    </row>
    <row r="17" spans="6:15" x14ac:dyDescent="0.3">
      <c r="F17">
        <v>1600</v>
      </c>
      <c r="G17">
        <v>96000</v>
      </c>
      <c r="I17">
        <v>1500</v>
      </c>
      <c r="J17">
        <v>90000</v>
      </c>
      <c r="K17">
        <v>180000</v>
      </c>
      <c r="L17">
        <v>270000</v>
      </c>
      <c r="M17">
        <v>360000</v>
      </c>
      <c r="N17">
        <v>450000</v>
      </c>
      <c r="O17">
        <v>540000</v>
      </c>
    </row>
    <row r="18" spans="6:15" x14ac:dyDescent="0.3">
      <c r="F18">
        <v>1700</v>
      </c>
      <c r="G18">
        <v>102000</v>
      </c>
      <c r="I18">
        <v>1600</v>
      </c>
      <c r="J18">
        <v>96000</v>
      </c>
      <c r="K18">
        <v>192000</v>
      </c>
      <c r="L18">
        <v>288000</v>
      </c>
      <c r="M18">
        <v>384000</v>
      </c>
      <c r="N18">
        <v>480000</v>
      </c>
      <c r="O18">
        <v>576000</v>
      </c>
    </row>
    <row r="19" spans="6:15" x14ac:dyDescent="0.3">
      <c r="F19">
        <v>1800</v>
      </c>
      <c r="G19">
        <v>108000</v>
      </c>
      <c r="I19">
        <v>1700</v>
      </c>
      <c r="J19">
        <v>102000</v>
      </c>
      <c r="K19">
        <v>204000</v>
      </c>
      <c r="L19">
        <v>306000</v>
      </c>
      <c r="M19">
        <v>408000</v>
      </c>
      <c r="N19">
        <v>510000</v>
      </c>
      <c r="O19">
        <v>612000</v>
      </c>
    </row>
    <row r="20" spans="6:15" x14ac:dyDescent="0.3">
      <c r="I20">
        <v>1800</v>
      </c>
      <c r="J20">
        <v>108000</v>
      </c>
      <c r="K20">
        <v>216000</v>
      </c>
      <c r="L20">
        <v>324000</v>
      </c>
      <c r="M20">
        <v>432000</v>
      </c>
      <c r="N20">
        <v>540000</v>
      </c>
      <c r="O20">
        <v>648000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EFD56-B141-40B0-82E8-4D2E1A8D8088}">
  <sheetPr>
    <outlinePr summaryBelow="0"/>
  </sheetPr>
  <dimension ref="B1:G11"/>
  <sheetViews>
    <sheetView showGridLines="0" workbookViewId="0">
      <selection activeCell="J28" sqref="J28"/>
    </sheetView>
  </sheetViews>
  <sheetFormatPr defaultRowHeight="14.4" outlineLevelRow="1" outlineLevelCol="1" x14ac:dyDescent="0.3"/>
  <cols>
    <col min="3" max="3" width="5.88671875" bestFit="1" customWidth="1"/>
    <col min="4" max="7" width="13.109375" bestFit="1" customWidth="1" outlineLevel="1"/>
  </cols>
  <sheetData>
    <row r="1" spans="2:7" ht="15" thickBot="1" x14ac:dyDescent="0.35"/>
    <row r="2" spans="2:7" ht="15.6" x14ac:dyDescent="0.3">
      <c r="B2" s="36" t="s">
        <v>64</v>
      </c>
      <c r="C2" s="36"/>
      <c r="D2" s="41"/>
      <c r="E2" s="41"/>
      <c r="F2" s="41"/>
      <c r="G2" s="41"/>
    </row>
    <row r="3" spans="2:7" ht="15.6" collapsed="1" x14ac:dyDescent="0.3">
      <c r="B3" s="35"/>
      <c r="C3" s="35"/>
      <c r="D3" s="42" t="s">
        <v>66</v>
      </c>
      <c r="E3" s="42" t="s">
        <v>60</v>
      </c>
      <c r="F3" s="42" t="s">
        <v>62</v>
      </c>
      <c r="G3" s="42" t="s">
        <v>63</v>
      </c>
    </row>
    <row r="4" spans="2:7" ht="20.399999999999999" hidden="1" outlineLevel="1" x14ac:dyDescent="0.3">
      <c r="B4" s="38"/>
      <c r="C4" s="38"/>
      <c r="D4" s="32"/>
      <c r="E4" s="44" t="s">
        <v>61</v>
      </c>
      <c r="F4" s="44" t="s">
        <v>61</v>
      </c>
      <c r="G4" s="44" t="s">
        <v>61</v>
      </c>
    </row>
    <row r="5" spans="2:7" x14ac:dyDescent="0.3">
      <c r="B5" s="39" t="s">
        <v>65</v>
      </c>
      <c r="C5" s="39"/>
      <c r="D5" s="37"/>
      <c r="E5" s="37"/>
      <c r="F5" s="37"/>
      <c r="G5" s="37"/>
    </row>
    <row r="6" spans="2:7" outlineLevel="1" x14ac:dyDescent="0.3">
      <c r="B6" s="38"/>
      <c r="C6" s="38" t="s">
        <v>58</v>
      </c>
      <c r="D6" s="33">
        <v>500</v>
      </c>
      <c r="E6" s="43">
        <v>700</v>
      </c>
      <c r="F6" s="43">
        <v>800</v>
      </c>
      <c r="G6" s="43">
        <v>2200</v>
      </c>
    </row>
    <row r="7" spans="2:7" x14ac:dyDescent="0.3">
      <c r="B7" s="39" t="s">
        <v>67</v>
      </c>
      <c r="C7" s="39"/>
      <c r="D7" s="37"/>
      <c r="E7" s="37"/>
      <c r="F7" s="37"/>
      <c r="G7" s="37"/>
    </row>
    <row r="8" spans="2:7" ht="15" outlineLevel="1" thickBot="1" x14ac:dyDescent="0.35">
      <c r="B8" s="40"/>
      <c r="C8" s="40" t="s">
        <v>59</v>
      </c>
      <c r="D8" s="34">
        <v>5000</v>
      </c>
      <c r="E8" s="34">
        <v>7000</v>
      </c>
      <c r="F8" s="34">
        <v>8000</v>
      </c>
      <c r="G8" s="34">
        <v>22000</v>
      </c>
    </row>
    <row r="9" spans="2:7" x14ac:dyDescent="0.3">
      <c r="B9" t="s">
        <v>68</v>
      </c>
    </row>
    <row r="10" spans="2:7" x14ac:dyDescent="0.3">
      <c r="B10" t="s">
        <v>69</v>
      </c>
    </row>
    <row r="11" spans="2:7" x14ac:dyDescent="0.3">
      <c r="B11" t="s">
        <v>70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873E8-91F9-4DAB-9569-E49F194AA13D}">
  <sheetPr>
    <outlinePr summaryBelow="0"/>
  </sheetPr>
  <dimension ref="B1:G11"/>
  <sheetViews>
    <sheetView showGridLines="0" zoomScale="85" zoomScaleNormal="85" workbookViewId="0">
      <selection activeCell="F12" sqref="F12"/>
    </sheetView>
  </sheetViews>
  <sheetFormatPr defaultRowHeight="14.4" outlineLevelRow="1" outlineLevelCol="1" x14ac:dyDescent="0.3"/>
  <cols>
    <col min="3" max="3" width="10.88671875" bestFit="1" customWidth="1"/>
    <col min="4" max="7" width="13.109375" bestFit="1" customWidth="1" outlineLevel="1"/>
  </cols>
  <sheetData>
    <row r="1" spans="2:7" ht="15" thickBot="1" x14ac:dyDescent="0.35"/>
    <row r="2" spans="2:7" ht="15.6" x14ac:dyDescent="0.3">
      <c r="B2" s="36" t="s">
        <v>64</v>
      </c>
      <c r="C2" s="36"/>
      <c r="D2" s="41"/>
      <c r="E2" s="41"/>
      <c r="F2" s="41"/>
      <c r="G2" s="41"/>
    </row>
    <row r="3" spans="2:7" ht="15.6" collapsed="1" x14ac:dyDescent="0.3">
      <c r="B3" s="35"/>
      <c r="C3" s="35"/>
      <c r="D3" s="42" t="s">
        <v>66</v>
      </c>
      <c r="E3" s="42" t="s">
        <v>60</v>
      </c>
      <c r="F3" s="42" t="s">
        <v>62</v>
      </c>
      <c r="G3" s="42" t="s">
        <v>63</v>
      </c>
    </row>
    <row r="4" spans="2:7" ht="20.399999999999999" hidden="1" outlineLevel="1" x14ac:dyDescent="0.3">
      <c r="B4" s="38"/>
      <c r="C4" s="38"/>
      <c r="D4" s="32"/>
      <c r="E4" s="44" t="s">
        <v>61</v>
      </c>
      <c r="F4" s="44" t="s">
        <v>61</v>
      </c>
      <c r="G4" s="44" t="s">
        <v>61</v>
      </c>
    </row>
    <row r="5" spans="2:7" x14ac:dyDescent="0.3">
      <c r="B5" s="39" t="s">
        <v>65</v>
      </c>
      <c r="C5" s="39"/>
      <c r="D5" s="37"/>
      <c r="E5" s="37"/>
      <c r="F5" s="37"/>
      <c r="G5" s="37"/>
    </row>
    <row r="6" spans="2:7" outlineLevel="1" x14ac:dyDescent="0.3">
      <c r="B6" s="38"/>
      <c r="C6" s="38" t="s">
        <v>71</v>
      </c>
      <c r="D6" s="33">
        <v>500</v>
      </c>
      <c r="E6" s="43">
        <v>700</v>
      </c>
      <c r="F6" s="43">
        <v>800</v>
      </c>
      <c r="G6" s="43">
        <v>2200</v>
      </c>
    </row>
    <row r="7" spans="2:7" x14ac:dyDescent="0.3">
      <c r="B7" s="39" t="s">
        <v>67</v>
      </c>
      <c r="C7" s="39"/>
      <c r="D7" s="37"/>
      <c r="E7" s="37"/>
      <c r="F7" s="37"/>
      <c r="G7" s="37"/>
    </row>
    <row r="8" spans="2:7" ht="15" outlineLevel="1" thickBot="1" x14ac:dyDescent="0.35">
      <c r="B8" s="40"/>
      <c r="C8" s="40" t="s">
        <v>72</v>
      </c>
      <c r="D8" s="34">
        <v>5000</v>
      </c>
      <c r="E8" s="34">
        <v>7000</v>
      </c>
      <c r="F8" s="34">
        <v>8000</v>
      </c>
      <c r="G8" s="34">
        <v>22000</v>
      </c>
    </row>
    <row r="9" spans="2:7" x14ac:dyDescent="0.3">
      <c r="B9" t="s">
        <v>68</v>
      </c>
    </row>
    <row r="10" spans="2:7" x14ac:dyDescent="0.3">
      <c r="B10" t="s">
        <v>69</v>
      </c>
    </row>
    <row r="11" spans="2:7" x14ac:dyDescent="0.3">
      <c r="B11" t="s">
        <v>70</v>
      </c>
    </row>
  </sheetData>
  <pageMargins left="0" right="0" top="0" bottom="0" header="0" footer="0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BE7FB-1742-4A47-A329-E8892E35023C}">
  <dimension ref="A1:F14"/>
  <sheetViews>
    <sheetView zoomScale="145" zoomScaleNormal="145" workbookViewId="0">
      <selection activeCell="F14" sqref="F14"/>
    </sheetView>
  </sheetViews>
  <sheetFormatPr defaultRowHeight="14.4" x14ac:dyDescent="0.3"/>
  <cols>
    <col min="5" max="5" width="12.6640625" bestFit="1" customWidth="1"/>
    <col min="6" max="6" width="11.88671875" bestFit="1" customWidth="1"/>
  </cols>
  <sheetData>
    <row r="1" spans="1:6" x14ac:dyDescent="0.3">
      <c r="A1" s="23" t="s">
        <v>51</v>
      </c>
      <c r="B1" s="23">
        <v>1666.6666666666667</v>
      </c>
    </row>
    <row r="2" spans="1:6" x14ac:dyDescent="0.3">
      <c r="A2" s="23" t="s">
        <v>52</v>
      </c>
      <c r="B2" s="23">
        <v>60</v>
      </c>
    </row>
    <row r="3" spans="1:6" x14ac:dyDescent="0.3">
      <c r="A3" s="23" t="s">
        <v>3</v>
      </c>
      <c r="B3" s="23">
        <v>1</v>
      </c>
    </row>
    <row r="4" spans="1:6" x14ac:dyDescent="0.3">
      <c r="A4" s="23"/>
      <c r="B4" s="23"/>
    </row>
    <row r="5" spans="1:6" x14ac:dyDescent="0.3">
      <c r="A5" s="23" t="s">
        <v>53</v>
      </c>
      <c r="B5" s="23">
        <f>B1*B2*B3</f>
        <v>100000</v>
      </c>
    </row>
    <row r="7" spans="1:6" x14ac:dyDescent="0.3">
      <c r="E7" s="23" t="s">
        <v>51</v>
      </c>
      <c r="F7" s="30">
        <v>500</v>
      </c>
    </row>
    <row r="8" spans="1:6" x14ac:dyDescent="0.3">
      <c r="E8" s="23" t="s">
        <v>52</v>
      </c>
      <c r="F8" s="29">
        <v>60</v>
      </c>
    </row>
    <row r="9" spans="1:6" x14ac:dyDescent="0.3">
      <c r="E9" s="23" t="s">
        <v>54</v>
      </c>
      <c r="F9" s="29">
        <v>10</v>
      </c>
    </row>
    <row r="10" spans="1:6" x14ac:dyDescent="0.3">
      <c r="E10" s="23" t="s">
        <v>3</v>
      </c>
      <c r="F10" s="29">
        <v>1</v>
      </c>
    </row>
    <row r="11" spans="1:6" x14ac:dyDescent="0.3">
      <c r="E11" s="23"/>
      <c r="F11" s="23"/>
    </row>
    <row r="12" spans="1:6" x14ac:dyDescent="0.3">
      <c r="E12" s="23" t="s">
        <v>57</v>
      </c>
      <c r="F12" s="29">
        <f>F7*F8*F10</f>
        <v>30000</v>
      </c>
    </row>
    <row r="13" spans="1:6" x14ac:dyDescent="0.3">
      <c r="E13" s="31" t="s">
        <v>56</v>
      </c>
      <c r="F13" s="29">
        <f>F12-(F7*F9)</f>
        <v>25000</v>
      </c>
    </row>
    <row r="14" spans="1:6" x14ac:dyDescent="0.3">
      <c r="E14" s="31" t="s">
        <v>55</v>
      </c>
      <c r="F14" s="29">
        <f>F12-F13</f>
        <v>5000</v>
      </c>
    </row>
  </sheetData>
  <scenarios current="0" sqref="F14">
    <scenario name="Sales1" locked="1" count="1" user="pc" comment="Created by pc on 23-01-2026">
      <inputCells r="F7" val="700" numFmtId="1"/>
    </scenario>
    <scenario name="Sales2" locked="1" count="1" user="pc" comment="Created by pc on 23-01-2026">
      <inputCells r="F7" val="800" numFmtId="1"/>
    </scenario>
    <scenario name="Sales3" locked="1" count="1" user="pc" comment="Created by pc on 23-01-2026">
      <inputCells r="F7" val="2200" numFmtId="1"/>
    </scenario>
  </scenario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176CB-4A63-4501-89C5-90CC1CAFBCC5}">
  <dimension ref="A3:B7"/>
  <sheetViews>
    <sheetView zoomScale="130" zoomScaleNormal="130" workbookViewId="0">
      <selection activeCell="B6" sqref="B6"/>
    </sheetView>
  </sheetViews>
  <sheetFormatPr defaultRowHeight="14.4" x14ac:dyDescent="0.3"/>
  <cols>
    <col min="1" max="1" width="12.5546875" bestFit="1" customWidth="1"/>
    <col min="2" max="2" width="15.33203125" bestFit="1" customWidth="1"/>
  </cols>
  <sheetData>
    <row r="3" spans="1:2" x14ac:dyDescent="0.3">
      <c r="A3" s="13" t="s">
        <v>47</v>
      </c>
      <c r="B3" t="s">
        <v>49</v>
      </c>
    </row>
    <row r="4" spans="1:2" x14ac:dyDescent="0.3">
      <c r="A4" s="14" t="s">
        <v>20</v>
      </c>
      <c r="B4" s="15">
        <v>399559</v>
      </c>
    </row>
    <row r="5" spans="1:2" x14ac:dyDescent="0.3">
      <c r="A5" s="14" t="s">
        <v>27</v>
      </c>
      <c r="B5" s="15">
        <v>288515</v>
      </c>
    </row>
    <row r="6" spans="1:2" x14ac:dyDescent="0.3">
      <c r="A6" s="14" t="s">
        <v>25</v>
      </c>
      <c r="B6" s="15">
        <v>105424</v>
      </c>
    </row>
    <row r="7" spans="1:2" x14ac:dyDescent="0.3">
      <c r="A7" s="14" t="s">
        <v>48</v>
      </c>
      <c r="B7" s="15">
        <v>793498</v>
      </c>
    </row>
  </sheetData>
  <pageMargins left="0.7" right="0.7" top="0.75" bottom="0.75" header="0.3" footer="0.3"/>
  <drawing r:id="rId2"/>
  <extLst>
    <ext xmlns:x15="http://schemas.microsoft.com/office/spreadsheetml/2010/11/main" uri="{7E03D99C-DC04-49d9-9315-930204A7B6E9}">
      <x15:timelineRefs>
        <x15:timelineRef r:id="rId3"/>
      </x15:timelineRef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FFFB7-CFC1-4B92-BC36-D9E9B02413AF}">
  <dimension ref="A3:D31"/>
  <sheetViews>
    <sheetView workbookViewId="0">
      <selection activeCell="C14" sqref="C14"/>
    </sheetView>
  </sheetViews>
  <sheetFormatPr defaultRowHeight="14.4" x14ac:dyDescent="0.3"/>
  <cols>
    <col min="1" max="1" width="12.5546875" bestFit="1" customWidth="1"/>
    <col min="2" max="2" width="11.77734375" bestFit="1" customWidth="1"/>
    <col min="3" max="3" width="15.33203125" bestFit="1" customWidth="1"/>
    <col min="4" max="4" width="16.21875" bestFit="1" customWidth="1"/>
  </cols>
  <sheetData>
    <row r="3" spans="1:4" x14ac:dyDescent="0.3">
      <c r="A3" s="13" t="s">
        <v>47</v>
      </c>
      <c r="B3" t="s">
        <v>77</v>
      </c>
      <c r="C3" t="s">
        <v>49</v>
      </c>
      <c r="D3" t="s">
        <v>76</v>
      </c>
    </row>
    <row r="4" spans="1:4" x14ac:dyDescent="0.3">
      <c r="A4" s="14" t="s">
        <v>31</v>
      </c>
      <c r="B4" s="15">
        <v>130</v>
      </c>
      <c r="C4" s="15">
        <v>82461</v>
      </c>
      <c r="D4" s="15">
        <v>2048</v>
      </c>
    </row>
    <row r="5" spans="1:4" x14ac:dyDescent="0.3">
      <c r="A5" s="59">
        <v>43242</v>
      </c>
      <c r="B5" s="15">
        <v>32</v>
      </c>
      <c r="C5" s="15">
        <v>38336</v>
      </c>
      <c r="D5" s="15">
        <v>1198</v>
      </c>
    </row>
    <row r="6" spans="1:4" x14ac:dyDescent="0.3">
      <c r="A6" s="59">
        <v>43310</v>
      </c>
      <c r="B6" s="15">
        <v>81</v>
      </c>
      <c r="C6" s="15">
        <v>40500</v>
      </c>
      <c r="D6" s="15">
        <v>500</v>
      </c>
    </row>
    <row r="7" spans="1:4" x14ac:dyDescent="0.3">
      <c r="A7" s="59">
        <v>43344</v>
      </c>
      <c r="B7" s="15">
        <v>2</v>
      </c>
      <c r="C7" s="15">
        <v>250</v>
      </c>
      <c r="D7" s="15">
        <v>125</v>
      </c>
    </row>
    <row r="8" spans="1:4" x14ac:dyDescent="0.3">
      <c r="A8" s="59">
        <v>43412</v>
      </c>
      <c r="B8" s="15">
        <v>15</v>
      </c>
      <c r="C8" s="15">
        <v>3375</v>
      </c>
      <c r="D8" s="15">
        <v>225</v>
      </c>
    </row>
    <row r="9" spans="1:4" x14ac:dyDescent="0.3">
      <c r="A9" s="14" t="s">
        <v>35</v>
      </c>
      <c r="B9" s="15">
        <v>484</v>
      </c>
      <c r="C9" s="15">
        <v>350384</v>
      </c>
      <c r="D9" s="15">
        <v>5152.5</v>
      </c>
    </row>
    <row r="10" spans="1:4" x14ac:dyDescent="0.3">
      <c r="A10" s="59">
        <v>43123</v>
      </c>
      <c r="B10" s="15">
        <v>50</v>
      </c>
      <c r="C10" s="15">
        <v>25000</v>
      </c>
      <c r="D10" s="15">
        <v>500</v>
      </c>
    </row>
    <row r="11" spans="1:4" x14ac:dyDescent="0.3">
      <c r="A11" s="59">
        <v>43140</v>
      </c>
      <c r="B11" s="15">
        <v>36</v>
      </c>
      <c r="C11" s="15">
        <v>43128</v>
      </c>
      <c r="D11" s="15">
        <v>1198</v>
      </c>
    </row>
    <row r="12" spans="1:4" x14ac:dyDescent="0.3">
      <c r="A12" s="59">
        <v>43225</v>
      </c>
      <c r="B12" s="15">
        <v>90</v>
      </c>
      <c r="C12" s="15">
        <v>107820</v>
      </c>
      <c r="D12" s="15">
        <v>1198</v>
      </c>
    </row>
    <row r="13" spans="1:4" x14ac:dyDescent="0.3">
      <c r="A13" s="59">
        <v>43276</v>
      </c>
      <c r="B13" s="15">
        <v>90</v>
      </c>
      <c r="C13" s="15">
        <v>107820</v>
      </c>
      <c r="D13" s="15">
        <v>1198</v>
      </c>
    </row>
    <row r="14" spans="1:4" x14ac:dyDescent="0.3">
      <c r="A14" s="59">
        <v>43378</v>
      </c>
      <c r="B14" s="15">
        <v>28</v>
      </c>
      <c r="C14" s="15">
        <v>14000</v>
      </c>
      <c r="D14" s="15">
        <v>500</v>
      </c>
    </row>
    <row r="15" spans="1:4" x14ac:dyDescent="0.3">
      <c r="A15" s="59">
        <v>43429</v>
      </c>
      <c r="B15" s="15">
        <v>96</v>
      </c>
      <c r="C15" s="15">
        <v>5616</v>
      </c>
      <c r="D15" s="15">
        <v>58.5</v>
      </c>
    </row>
    <row r="16" spans="1:4" x14ac:dyDescent="0.3">
      <c r="A16" s="59">
        <v>43803</v>
      </c>
      <c r="B16" s="15">
        <v>94</v>
      </c>
      <c r="C16" s="15">
        <v>47000</v>
      </c>
      <c r="D16" s="15">
        <v>500</v>
      </c>
    </row>
    <row r="17" spans="1:4" x14ac:dyDescent="0.3">
      <c r="A17" s="14" t="s">
        <v>28</v>
      </c>
      <c r="B17" s="15">
        <v>422</v>
      </c>
      <c r="C17" s="15">
        <v>336490</v>
      </c>
      <c r="D17" s="15">
        <v>5819</v>
      </c>
    </row>
    <row r="18" spans="1:4" x14ac:dyDescent="0.3">
      <c r="A18" s="59">
        <v>43106</v>
      </c>
      <c r="B18" s="15">
        <v>95</v>
      </c>
      <c r="C18" s="15">
        <v>113810</v>
      </c>
      <c r="D18" s="15">
        <v>1198</v>
      </c>
    </row>
    <row r="19" spans="1:4" x14ac:dyDescent="0.3">
      <c r="A19" s="59">
        <v>43191</v>
      </c>
      <c r="B19" s="15">
        <v>60</v>
      </c>
      <c r="C19" s="15">
        <v>30000</v>
      </c>
      <c r="D19" s="15">
        <v>500</v>
      </c>
    </row>
    <row r="20" spans="1:4" x14ac:dyDescent="0.3">
      <c r="A20" s="59">
        <v>43208</v>
      </c>
      <c r="B20" s="15">
        <v>75</v>
      </c>
      <c r="C20" s="15">
        <v>89850</v>
      </c>
      <c r="D20" s="15">
        <v>1198</v>
      </c>
    </row>
    <row r="21" spans="1:4" x14ac:dyDescent="0.3">
      <c r="A21" s="59">
        <v>43259</v>
      </c>
      <c r="B21" s="15">
        <v>60</v>
      </c>
      <c r="C21" s="15">
        <v>30000</v>
      </c>
      <c r="D21" s="15">
        <v>500</v>
      </c>
    </row>
    <row r="22" spans="1:4" x14ac:dyDescent="0.3">
      <c r="A22" s="59">
        <v>43293</v>
      </c>
      <c r="B22" s="15">
        <v>29</v>
      </c>
      <c r="C22" s="15">
        <v>14500</v>
      </c>
      <c r="D22" s="15">
        <v>500</v>
      </c>
    </row>
    <row r="23" spans="1:4" x14ac:dyDescent="0.3">
      <c r="A23" s="59">
        <v>43327</v>
      </c>
      <c r="B23" s="15">
        <v>35</v>
      </c>
      <c r="C23" s="15">
        <v>41930</v>
      </c>
      <c r="D23" s="15">
        <v>1198</v>
      </c>
    </row>
    <row r="24" spans="1:4" x14ac:dyDescent="0.3">
      <c r="A24" s="59">
        <v>43395</v>
      </c>
      <c r="B24" s="15">
        <v>64</v>
      </c>
      <c r="C24" s="15">
        <v>14400</v>
      </c>
      <c r="D24" s="15">
        <v>225</v>
      </c>
    </row>
    <row r="25" spans="1:4" x14ac:dyDescent="0.3">
      <c r="A25" s="59">
        <v>43514</v>
      </c>
      <c r="B25" s="15">
        <v>4</v>
      </c>
      <c r="C25" s="15">
        <v>2000</v>
      </c>
      <c r="D25" s="15">
        <v>500</v>
      </c>
    </row>
    <row r="26" spans="1:4" x14ac:dyDescent="0.3">
      <c r="A26" s="14" t="s">
        <v>21</v>
      </c>
      <c r="B26" s="15">
        <v>166</v>
      </c>
      <c r="C26" s="15">
        <v>113538</v>
      </c>
      <c r="D26" s="15">
        <v>2048</v>
      </c>
    </row>
    <row r="27" spans="1:4" x14ac:dyDescent="0.3">
      <c r="A27" s="59">
        <v>43157</v>
      </c>
      <c r="B27" s="15">
        <v>27</v>
      </c>
      <c r="C27" s="15">
        <v>6075</v>
      </c>
      <c r="D27" s="15">
        <v>225</v>
      </c>
    </row>
    <row r="28" spans="1:4" x14ac:dyDescent="0.3">
      <c r="A28" s="59">
        <v>43174</v>
      </c>
      <c r="B28" s="15">
        <v>56</v>
      </c>
      <c r="C28" s="15">
        <v>67088</v>
      </c>
      <c r="D28" s="15">
        <v>1198</v>
      </c>
    </row>
    <row r="29" spans="1:4" x14ac:dyDescent="0.3">
      <c r="A29" s="59">
        <v>43616</v>
      </c>
      <c r="B29" s="15">
        <v>80</v>
      </c>
      <c r="C29" s="15">
        <v>40000</v>
      </c>
      <c r="D29" s="15">
        <v>500</v>
      </c>
    </row>
    <row r="30" spans="1:4" x14ac:dyDescent="0.3">
      <c r="A30" s="59">
        <v>43701</v>
      </c>
      <c r="B30" s="15">
        <v>3</v>
      </c>
      <c r="C30" s="15">
        <v>375</v>
      </c>
      <c r="D30" s="15">
        <v>125</v>
      </c>
    </row>
    <row r="31" spans="1:4" x14ac:dyDescent="0.3">
      <c r="A31" s="14" t="s">
        <v>48</v>
      </c>
      <c r="B31" s="15">
        <v>1202</v>
      </c>
      <c r="C31" s="15">
        <v>882873</v>
      </c>
      <c r="D31" s="15">
        <v>15067.5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DFC98-DCB1-4F4A-B660-D875D1C50D6F}">
  <dimension ref="A1:I24"/>
  <sheetViews>
    <sheetView workbookViewId="0">
      <selection activeCell="B8" sqref="B8"/>
    </sheetView>
  </sheetViews>
  <sheetFormatPr defaultRowHeight="14.4" x14ac:dyDescent="0.3"/>
  <cols>
    <col min="1" max="1" width="11.5546875" customWidth="1"/>
    <col min="3" max="3" width="10.44140625" customWidth="1"/>
    <col min="4" max="4" width="11" customWidth="1"/>
    <col min="7" max="7" width="12.44140625" customWidth="1"/>
    <col min="8" max="8" width="10.6640625" customWidth="1"/>
    <col min="9" max="9" width="15" customWidth="1"/>
  </cols>
  <sheetData>
    <row r="1" spans="1:9" x14ac:dyDescent="0.3">
      <c r="A1" s="26" t="s">
        <v>11</v>
      </c>
      <c r="B1" s="26" t="s">
        <v>12</v>
      </c>
      <c r="C1" s="26" t="s">
        <v>13</v>
      </c>
      <c r="D1" s="26" t="s">
        <v>14</v>
      </c>
      <c r="E1" s="26" t="s">
        <v>15</v>
      </c>
      <c r="F1" s="26" t="s">
        <v>16</v>
      </c>
      <c r="G1" s="27" t="s">
        <v>17</v>
      </c>
      <c r="H1" s="26" t="s">
        <v>18</v>
      </c>
      <c r="I1" s="28" t="s">
        <v>19</v>
      </c>
    </row>
    <row r="2" spans="1:9" x14ac:dyDescent="0.3">
      <c r="A2" s="24">
        <v>43106</v>
      </c>
      <c r="B2" s="7" t="s">
        <v>27</v>
      </c>
      <c r="C2" s="7" t="s">
        <v>28</v>
      </c>
      <c r="D2" s="7" t="s">
        <v>34</v>
      </c>
      <c r="E2" s="7" t="s">
        <v>45</v>
      </c>
      <c r="F2" s="7">
        <v>95</v>
      </c>
      <c r="G2" s="7">
        <v>1198</v>
      </c>
      <c r="H2" s="7">
        <v>113810</v>
      </c>
      <c r="I2" s="8" t="s">
        <v>43</v>
      </c>
    </row>
    <row r="3" spans="1:9" x14ac:dyDescent="0.3">
      <c r="A3" s="24">
        <v>43123</v>
      </c>
      <c r="B3" s="7" t="s">
        <v>20</v>
      </c>
      <c r="C3" s="7" t="s">
        <v>35</v>
      </c>
      <c r="D3" s="7" t="s">
        <v>36</v>
      </c>
      <c r="E3" s="7" t="s">
        <v>39</v>
      </c>
      <c r="F3" s="7">
        <v>50</v>
      </c>
      <c r="G3" s="7">
        <v>500</v>
      </c>
      <c r="H3" s="7">
        <v>25000</v>
      </c>
      <c r="I3" s="8" t="s">
        <v>30</v>
      </c>
    </row>
    <row r="4" spans="1:9" x14ac:dyDescent="0.3">
      <c r="A4" s="24">
        <v>43140</v>
      </c>
      <c r="B4" s="7" t="s">
        <v>20</v>
      </c>
      <c r="C4" s="7" t="s">
        <v>35</v>
      </c>
      <c r="D4" s="7" t="s">
        <v>41</v>
      </c>
      <c r="E4" s="7" t="s">
        <v>45</v>
      </c>
      <c r="F4" s="7">
        <v>36</v>
      </c>
      <c r="G4" s="7">
        <v>1198</v>
      </c>
      <c r="H4" s="7">
        <v>43128</v>
      </c>
      <c r="I4" s="8" t="s">
        <v>33</v>
      </c>
    </row>
    <row r="5" spans="1:9" x14ac:dyDescent="0.3">
      <c r="A5" s="24">
        <v>43157</v>
      </c>
      <c r="B5" s="7" t="s">
        <v>20</v>
      </c>
      <c r="C5" s="7" t="s">
        <v>21</v>
      </c>
      <c r="D5" s="7" t="s">
        <v>22</v>
      </c>
      <c r="E5" s="7" t="s">
        <v>23</v>
      </c>
      <c r="F5" s="7">
        <v>27</v>
      </c>
      <c r="G5" s="7">
        <v>225</v>
      </c>
      <c r="H5" s="7">
        <v>6075</v>
      </c>
      <c r="I5" s="8" t="s">
        <v>24</v>
      </c>
    </row>
    <row r="6" spans="1:9" x14ac:dyDescent="0.3">
      <c r="A6" s="25">
        <v>43174</v>
      </c>
      <c r="B6" s="9" t="s">
        <v>25</v>
      </c>
      <c r="C6" s="9" t="s">
        <v>21</v>
      </c>
      <c r="D6" s="9" t="s">
        <v>26</v>
      </c>
      <c r="E6" s="9" t="s">
        <v>45</v>
      </c>
      <c r="F6" s="9">
        <v>56</v>
      </c>
      <c r="G6" s="9">
        <v>1198</v>
      </c>
      <c r="H6" s="9">
        <v>67088</v>
      </c>
      <c r="I6" s="10" t="s">
        <v>43</v>
      </c>
    </row>
    <row r="7" spans="1:9" x14ac:dyDescent="0.3">
      <c r="A7" s="24">
        <v>43191</v>
      </c>
      <c r="B7" s="7" t="s">
        <v>27</v>
      </c>
      <c r="C7" s="7" t="s">
        <v>28</v>
      </c>
      <c r="D7" s="7" t="s">
        <v>34</v>
      </c>
      <c r="E7" s="7" t="s">
        <v>39</v>
      </c>
      <c r="F7" s="7">
        <v>60</v>
      </c>
      <c r="G7" s="7">
        <v>500</v>
      </c>
      <c r="H7" s="7">
        <v>30000</v>
      </c>
      <c r="I7" s="8" t="s">
        <v>30</v>
      </c>
    </row>
    <row r="8" spans="1:9" x14ac:dyDescent="0.3">
      <c r="A8" s="24">
        <v>43208</v>
      </c>
      <c r="B8" s="7" t="s">
        <v>20</v>
      </c>
      <c r="C8" s="7" t="s">
        <v>28</v>
      </c>
      <c r="D8" s="7" t="s">
        <v>42</v>
      </c>
      <c r="E8" s="7" t="s">
        <v>45</v>
      </c>
      <c r="F8" s="7">
        <v>75</v>
      </c>
      <c r="G8" s="7">
        <v>1198</v>
      </c>
      <c r="H8" s="7">
        <v>89850</v>
      </c>
      <c r="I8" s="7" t="s">
        <v>33</v>
      </c>
    </row>
    <row r="9" spans="1:9" x14ac:dyDescent="0.3">
      <c r="A9" s="24">
        <v>43225</v>
      </c>
      <c r="B9" s="7" t="s">
        <v>20</v>
      </c>
      <c r="C9" s="7" t="s">
        <v>35</v>
      </c>
      <c r="D9" s="7" t="s">
        <v>41</v>
      </c>
      <c r="E9" s="7" t="s">
        <v>45</v>
      </c>
      <c r="F9" s="7">
        <v>90</v>
      </c>
      <c r="G9" s="7">
        <v>1198</v>
      </c>
      <c r="H9" s="7">
        <v>107820</v>
      </c>
      <c r="I9" s="7" t="s">
        <v>43</v>
      </c>
    </row>
    <row r="10" spans="1:9" x14ac:dyDescent="0.3">
      <c r="A10" s="24">
        <v>43242</v>
      </c>
      <c r="B10" s="7" t="s">
        <v>25</v>
      </c>
      <c r="C10" s="7" t="s">
        <v>31</v>
      </c>
      <c r="D10" s="7" t="s">
        <v>44</v>
      </c>
      <c r="E10" s="7" t="s">
        <v>45</v>
      </c>
      <c r="F10" s="7">
        <v>32</v>
      </c>
      <c r="G10" s="7">
        <v>1198</v>
      </c>
      <c r="H10" s="7">
        <v>38336</v>
      </c>
      <c r="I10" s="7" t="s">
        <v>30</v>
      </c>
    </row>
    <row r="11" spans="1:9" x14ac:dyDescent="0.3">
      <c r="A11" s="24">
        <v>43259</v>
      </c>
      <c r="B11" s="7" t="s">
        <v>27</v>
      </c>
      <c r="C11" s="7" t="s">
        <v>28</v>
      </c>
      <c r="D11" s="7" t="s">
        <v>34</v>
      </c>
      <c r="E11" s="7" t="s">
        <v>39</v>
      </c>
      <c r="F11" s="7">
        <v>60</v>
      </c>
      <c r="G11" s="7">
        <v>500</v>
      </c>
      <c r="H11" s="7">
        <v>30000</v>
      </c>
      <c r="I11" s="7" t="s">
        <v>43</v>
      </c>
    </row>
    <row r="12" spans="1:9" x14ac:dyDescent="0.3">
      <c r="A12" s="25">
        <v>43276</v>
      </c>
      <c r="B12" s="9" t="s">
        <v>20</v>
      </c>
      <c r="C12" s="9" t="s">
        <v>35</v>
      </c>
      <c r="D12" s="9" t="s">
        <v>40</v>
      </c>
      <c r="E12" s="9" t="s">
        <v>45</v>
      </c>
      <c r="F12" s="9">
        <v>90</v>
      </c>
      <c r="G12" s="9">
        <v>1198</v>
      </c>
      <c r="H12" s="9">
        <v>107820</v>
      </c>
      <c r="I12" s="9" t="s">
        <v>30</v>
      </c>
    </row>
    <row r="13" spans="1:9" x14ac:dyDescent="0.3">
      <c r="A13" s="24">
        <v>43293</v>
      </c>
      <c r="B13" s="7" t="s">
        <v>27</v>
      </c>
      <c r="C13" s="7" t="s">
        <v>28</v>
      </c>
      <c r="D13" s="7" t="s">
        <v>29</v>
      </c>
      <c r="E13" s="7" t="s">
        <v>39</v>
      </c>
      <c r="F13" s="7">
        <v>29</v>
      </c>
      <c r="G13" s="7">
        <v>500</v>
      </c>
      <c r="H13" s="7">
        <v>14500</v>
      </c>
      <c r="I13" s="7" t="s">
        <v>33</v>
      </c>
    </row>
    <row r="14" spans="1:9" x14ac:dyDescent="0.3">
      <c r="A14" s="25">
        <v>43310</v>
      </c>
      <c r="B14" s="9" t="s">
        <v>27</v>
      </c>
      <c r="C14" s="9" t="s">
        <v>31</v>
      </c>
      <c r="D14" s="9" t="s">
        <v>32</v>
      </c>
      <c r="E14" s="9" t="s">
        <v>39</v>
      </c>
      <c r="F14" s="9">
        <v>81</v>
      </c>
      <c r="G14" s="9">
        <v>500</v>
      </c>
      <c r="H14" s="9">
        <v>40500</v>
      </c>
      <c r="I14" s="10" t="s">
        <v>24</v>
      </c>
    </row>
    <row r="15" spans="1:9" x14ac:dyDescent="0.3">
      <c r="A15" s="24">
        <v>43327</v>
      </c>
      <c r="B15" s="7" t="s">
        <v>27</v>
      </c>
      <c r="C15" s="7" t="s">
        <v>28</v>
      </c>
      <c r="D15" s="7" t="s">
        <v>34</v>
      </c>
      <c r="E15" s="7" t="s">
        <v>45</v>
      </c>
      <c r="F15" s="7">
        <v>35</v>
      </c>
      <c r="G15" s="7">
        <v>1198</v>
      </c>
      <c r="H15" s="7">
        <v>41930</v>
      </c>
      <c r="I15" s="8" t="s">
        <v>33</v>
      </c>
    </row>
    <row r="16" spans="1:9" x14ac:dyDescent="0.3">
      <c r="A16" s="24">
        <v>43344</v>
      </c>
      <c r="B16" s="7" t="s">
        <v>20</v>
      </c>
      <c r="C16" s="7" t="s">
        <v>31</v>
      </c>
      <c r="D16" s="7" t="s">
        <v>38</v>
      </c>
      <c r="E16" s="7" t="s">
        <v>37</v>
      </c>
      <c r="F16" s="7">
        <v>2</v>
      </c>
      <c r="G16" s="7">
        <v>125</v>
      </c>
      <c r="H16" s="7">
        <v>250</v>
      </c>
      <c r="I16" s="8" t="s">
        <v>24</v>
      </c>
    </row>
    <row r="17" spans="1:9" x14ac:dyDescent="0.3">
      <c r="A17" s="25">
        <v>43378</v>
      </c>
      <c r="B17" s="9" t="s">
        <v>20</v>
      </c>
      <c r="C17" s="9" t="s">
        <v>35</v>
      </c>
      <c r="D17" s="9" t="s">
        <v>40</v>
      </c>
      <c r="E17" s="9" t="s">
        <v>39</v>
      </c>
      <c r="F17" s="9">
        <v>28</v>
      </c>
      <c r="G17" s="9">
        <v>500</v>
      </c>
      <c r="H17" s="9">
        <v>14000</v>
      </c>
      <c r="I17" s="9" t="s">
        <v>30</v>
      </c>
    </row>
    <row r="18" spans="1:9" x14ac:dyDescent="0.3">
      <c r="A18" s="24">
        <v>43395</v>
      </c>
      <c r="B18" s="7" t="s">
        <v>27</v>
      </c>
      <c r="C18" s="7" t="s">
        <v>28</v>
      </c>
      <c r="D18" s="7" t="s">
        <v>34</v>
      </c>
      <c r="E18" s="7" t="s">
        <v>23</v>
      </c>
      <c r="F18" s="7">
        <v>64</v>
      </c>
      <c r="G18" s="7">
        <v>225</v>
      </c>
      <c r="H18" s="7">
        <v>14400</v>
      </c>
      <c r="I18" s="8" t="s">
        <v>24</v>
      </c>
    </row>
    <row r="19" spans="1:9" x14ac:dyDescent="0.3">
      <c r="A19" s="25">
        <v>43412</v>
      </c>
      <c r="B19" s="9" t="s">
        <v>27</v>
      </c>
      <c r="C19" s="9" t="s">
        <v>31</v>
      </c>
      <c r="D19" s="9" t="s">
        <v>32</v>
      </c>
      <c r="E19" s="9" t="s">
        <v>23</v>
      </c>
      <c r="F19" s="9">
        <v>15</v>
      </c>
      <c r="G19" s="9">
        <v>225</v>
      </c>
      <c r="H19" s="9">
        <v>3375</v>
      </c>
      <c r="I19" s="10" t="s">
        <v>33</v>
      </c>
    </row>
    <row r="20" spans="1:9" x14ac:dyDescent="0.3">
      <c r="A20" s="24">
        <v>43429</v>
      </c>
      <c r="B20" s="7" t="s">
        <v>20</v>
      </c>
      <c r="C20" s="7" t="s">
        <v>35</v>
      </c>
      <c r="D20" s="7" t="s">
        <v>36</v>
      </c>
      <c r="E20" s="7" t="s">
        <v>46</v>
      </c>
      <c r="F20" s="7">
        <v>96</v>
      </c>
      <c r="G20" s="7">
        <v>58.5</v>
      </c>
      <c r="H20" s="7">
        <v>5616</v>
      </c>
      <c r="I20" s="7" t="s">
        <v>24</v>
      </c>
    </row>
    <row r="21" spans="1:9" x14ac:dyDescent="0.3">
      <c r="A21" s="25">
        <v>43514</v>
      </c>
      <c r="B21" s="9" t="s">
        <v>27</v>
      </c>
      <c r="C21" s="9" t="s">
        <v>28</v>
      </c>
      <c r="D21" s="9" t="s">
        <v>34</v>
      </c>
      <c r="E21" s="9" t="s">
        <v>39</v>
      </c>
      <c r="F21" s="9">
        <v>4</v>
      </c>
      <c r="G21" s="9">
        <v>500</v>
      </c>
      <c r="H21" s="9">
        <v>2000</v>
      </c>
      <c r="I21" s="9" t="s">
        <v>30</v>
      </c>
    </row>
    <row r="22" spans="1:9" x14ac:dyDescent="0.3">
      <c r="A22" s="24">
        <v>43616</v>
      </c>
      <c r="B22" s="7" t="s">
        <v>20</v>
      </c>
      <c r="C22" s="7" t="s">
        <v>21</v>
      </c>
      <c r="D22" s="7" t="s">
        <v>22</v>
      </c>
      <c r="E22" s="7" t="s">
        <v>39</v>
      </c>
      <c r="F22" s="7">
        <v>80</v>
      </c>
      <c r="G22" s="7">
        <v>500</v>
      </c>
      <c r="H22" s="7">
        <v>40000</v>
      </c>
      <c r="I22" s="7" t="s">
        <v>30</v>
      </c>
    </row>
    <row r="23" spans="1:9" x14ac:dyDescent="0.3">
      <c r="A23" s="25">
        <v>43701</v>
      </c>
      <c r="B23" s="9" t="s">
        <v>25</v>
      </c>
      <c r="C23" s="9" t="s">
        <v>21</v>
      </c>
      <c r="D23" s="9" t="s">
        <v>26</v>
      </c>
      <c r="E23" s="9" t="s">
        <v>37</v>
      </c>
      <c r="F23" s="9">
        <v>3</v>
      </c>
      <c r="G23" s="9">
        <v>125</v>
      </c>
      <c r="H23" s="9">
        <v>375</v>
      </c>
      <c r="I23" s="9" t="s">
        <v>30</v>
      </c>
    </row>
    <row r="24" spans="1:9" x14ac:dyDescent="0.3">
      <c r="A24" s="58">
        <v>43803</v>
      </c>
      <c r="B24" s="3" t="s">
        <v>20</v>
      </c>
      <c r="C24" s="3" t="s">
        <v>35</v>
      </c>
      <c r="D24" s="3" t="s">
        <v>41</v>
      </c>
      <c r="E24" s="3" t="s">
        <v>39</v>
      </c>
      <c r="F24" s="3">
        <v>94</v>
      </c>
      <c r="G24" s="3">
        <v>500</v>
      </c>
      <c r="H24" s="3">
        <v>47000</v>
      </c>
      <c r="I24" s="3" t="s">
        <v>30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F325C-65B9-4278-909C-CFF215CF7C46}">
  <dimension ref="A3:B7"/>
  <sheetViews>
    <sheetView workbookViewId="0">
      <selection activeCell="B6" sqref="B6"/>
    </sheetView>
  </sheetViews>
  <sheetFormatPr defaultRowHeight="14.4" x14ac:dyDescent="0.3"/>
  <cols>
    <col min="1" max="1" width="12.5546875" bestFit="1" customWidth="1"/>
    <col min="2" max="2" width="15.33203125" bestFit="1" customWidth="1"/>
  </cols>
  <sheetData>
    <row r="3" spans="1:2" x14ac:dyDescent="0.3">
      <c r="A3" s="13" t="s">
        <v>47</v>
      </c>
      <c r="B3" t="s">
        <v>49</v>
      </c>
    </row>
    <row r="4" spans="1:2" x14ac:dyDescent="0.3">
      <c r="A4" s="14" t="s">
        <v>20</v>
      </c>
      <c r="B4" s="15">
        <v>326123</v>
      </c>
    </row>
    <row r="5" spans="1:2" x14ac:dyDescent="0.3">
      <c r="A5" s="14" t="s">
        <v>27</v>
      </c>
      <c r="B5" s="15">
        <v>113810</v>
      </c>
    </row>
    <row r="6" spans="1:2" x14ac:dyDescent="0.3">
      <c r="A6" s="14" t="s">
        <v>25</v>
      </c>
      <c r="B6" s="15">
        <v>67463</v>
      </c>
    </row>
    <row r="7" spans="1:2" x14ac:dyDescent="0.3">
      <c r="A7" s="14" t="s">
        <v>48</v>
      </c>
      <c r="B7" s="15">
        <v>507396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DCD1E-416A-4678-AF2D-2EB780D99554}">
  <dimension ref="A3:C34"/>
  <sheetViews>
    <sheetView tabSelected="1" workbookViewId="0">
      <selection activeCell="A25" sqref="A25:B27"/>
    </sheetView>
  </sheetViews>
  <sheetFormatPr defaultRowHeight="14.4" x14ac:dyDescent="0.3"/>
  <cols>
    <col min="1" max="1" width="12.5546875" bestFit="1" customWidth="1"/>
    <col min="2" max="2" width="15.33203125" bestFit="1" customWidth="1"/>
  </cols>
  <sheetData>
    <row r="3" spans="1:3" x14ac:dyDescent="0.3">
      <c r="A3" s="13" t="s">
        <v>47</v>
      </c>
      <c r="B3" t="s">
        <v>49</v>
      </c>
    </row>
    <row r="4" spans="1:3" x14ac:dyDescent="0.3">
      <c r="A4" s="14" t="s">
        <v>34</v>
      </c>
      <c r="B4" s="15">
        <v>113810</v>
      </c>
    </row>
    <row r="5" spans="1:3" x14ac:dyDescent="0.3">
      <c r="A5" s="14" t="s">
        <v>22</v>
      </c>
      <c r="B5" s="15">
        <v>46075</v>
      </c>
    </row>
    <row r="6" spans="1:3" x14ac:dyDescent="0.3">
      <c r="A6" s="14" t="s">
        <v>38</v>
      </c>
      <c r="B6" s="15">
        <v>250</v>
      </c>
    </row>
    <row r="7" spans="1:3" x14ac:dyDescent="0.3">
      <c r="A7" s="14" t="s">
        <v>41</v>
      </c>
      <c r="B7" s="15">
        <v>150948</v>
      </c>
    </row>
    <row r="8" spans="1:3" x14ac:dyDescent="0.3">
      <c r="A8" s="14" t="s">
        <v>36</v>
      </c>
      <c r="B8" s="15">
        <v>25000</v>
      </c>
    </row>
    <row r="9" spans="1:3" x14ac:dyDescent="0.3">
      <c r="A9" s="14" t="s">
        <v>40</v>
      </c>
      <c r="B9" s="15">
        <v>14000</v>
      </c>
      <c r="C9" s="13"/>
    </row>
    <row r="10" spans="1:3" x14ac:dyDescent="0.3">
      <c r="A10" s="14" t="s">
        <v>26</v>
      </c>
      <c r="B10" s="15">
        <v>67463</v>
      </c>
    </row>
    <row r="11" spans="1:3" x14ac:dyDescent="0.3">
      <c r="A11" s="14" t="s">
        <v>42</v>
      </c>
      <c r="B11" s="15">
        <v>89850</v>
      </c>
    </row>
    <row r="12" spans="1:3" x14ac:dyDescent="0.3">
      <c r="A12" s="14" t="s">
        <v>48</v>
      </c>
      <c r="B12" s="15">
        <v>507396</v>
      </c>
    </row>
    <row r="25" spans="1:3" x14ac:dyDescent="0.3">
      <c r="A25" s="13" t="s">
        <v>47</v>
      </c>
      <c r="B25" t="s">
        <v>49</v>
      </c>
      <c r="C25" s="13"/>
    </row>
    <row r="26" spans="1:3" x14ac:dyDescent="0.3">
      <c r="A26" s="14" t="s">
        <v>34</v>
      </c>
      <c r="B26" s="15">
        <v>113810</v>
      </c>
    </row>
    <row r="27" spans="1:3" x14ac:dyDescent="0.3">
      <c r="A27" s="14" t="s">
        <v>22</v>
      </c>
      <c r="B27" s="15">
        <v>46075</v>
      </c>
    </row>
    <row r="28" spans="1:3" x14ac:dyDescent="0.3">
      <c r="A28" s="14" t="s">
        <v>38</v>
      </c>
      <c r="B28" s="15">
        <v>250</v>
      </c>
    </row>
    <row r="29" spans="1:3" x14ac:dyDescent="0.3">
      <c r="A29" s="14" t="s">
        <v>41</v>
      </c>
      <c r="B29" s="15">
        <v>150948</v>
      </c>
    </row>
    <row r="30" spans="1:3" x14ac:dyDescent="0.3">
      <c r="A30" s="14" t="s">
        <v>36</v>
      </c>
      <c r="B30" s="15">
        <v>25000</v>
      </c>
    </row>
    <row r="31" spans="1:3" x14ac:dyDescent="0.3">
      <c r="A31" s="14" t="s">
        <v>40</v>
      </c>
      <c r="B31" s="15">
        <v>14000</v>
      </c>
    </row>
    <row r="32" spans="1:3" x14ac:dyDescent="0.3">
      <c r="A32" s="14" t="s">
        <v>26</v>
      </c>
      <c r="B32" s="15">
        <v>67463</v>
      </c>
    </row>
    <row r="33" spans="1:2" x14ac:dyDescent="0.3">
      <c r="A33" s="14" t="s">
        <v>42</v>
      </c>
      <c r="B33" s="15">
        <v>89850</v>
      </c>
    </row>
    <row r="34" spans="1:2" x14ac:dyDescent="0.3">
      <c r="A34" s="14" t="s">
        <v>48</v>
      </c>
      <c r="B34" s="15">
        <v>507396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93AF5-4D24-4E87-A163-2F584BD005EC}">
  <dimension ref="A1:I12"/>
  <sheetViews>
    <sheetView zoomScale="115" zoomScaleNormal="115" workbookViewId="0">
      <selection activeCell="F7" sqref="A1:I12"/>
    </sheetView>
  </sheetViews>
  <sheetFormatPr defaultRowHeight="14.4" x14ac:dyDescent="0.3"/>
  <cols>
    <col min="1" max="1" width="9.6640625" bestFit="1" customWidth="1"/>
    <col min="2" max="2" width="6.88671875" bestFit="1" customWidth="1"/>
    <col min="3" max="3" width="8.5546875" bestFit="1" customWidth="1"/>
    <col min="4" max="4" width="9.109375" bestFit="1" customWidth="1"/>
    <col min="5" max="5" width="12.6640625" bestFit="1" customWidth="1"/>
    <col min="6" max="6" width="5.33203125" bestFit="1" customWidth="1"/>
    <col min="7" max="7" width="11" bestFit="1" customWidth="1"/>
    <col min="8" max="8" width="8.77734375" bestFit="1" customWidth="1"/>
    <col min="9" max="9" width="13.21875" bestFit="1" customWidth="1"/>
  </cols>
  <sheetData>
    <row r="1" spans="1:9" x14ac:dyDescent="0.3">
      <c r="A1" s="20" t="s">
        <v>11</v>
      </c>
      <c r="B1" s="21" t="s">
        <v>12</v>
      </c>
      <c r="C1" s="21" t="s">
        <v>13</v>
      </c>
      <c r="D1" s="21" t="s">
        <v>14</v>
      </c>
      <c r="E1" s="21" t="s">
        <v>15</v>
      </c>
      <c r="F1" s="21" t="s">
        <v>16</v>
      </c>
      <c r="G1" s="6" t="s">
        <v>17</v>
      </c>
      <c r="H1" s="21" t="s">
        <v>18</v>
      </c>
      <c r="I1" s="22" t="s">
        <v>19</v>
      </c>
    </row>
    <row r="2" spans="1:9" x14ac:dyDescent="0.3">
      <c r="A2" s="11">
        <v>43106</v>
      </c>
      <c r="B2" s="7" t="s">
        <v>27</v>
      </c>
      <c r="C2" s="7" t="s">
        <v>28</v>
      </c>
      <c r="D2" s="7" t="s">
        <v>34</v>
      </c>
      <c r="E2" s="7" t="s">
        <v>45</v>
      </c>
      <c r="F2" s="7">
        <v>95</v>
      </c>
      <c r="G2" s="7">
        <v>1198</v>
      </c>
      <c r="H2" s="7">
        <v>113810</v>
      </c>
      <c r="I2" s="8" t="s">
        <v>43</v>
      </c>
    </row>
    <row r="3" spans="1:9" x14ac:dyDescent="0.3">
      <c r="A3" s="11">
        <v>43140</v>
      </c>
      <c r="B3" s="7" t="s">
        <v>20</v>
      </c>
      <c r="C3" s="7" t="s">
        <v>35</v>
      </c>
      <c r="D3" s="7" t="s">
        <v>41</v>
      </c>
      <c r="E3" s="7" t="s">
        <v>45</v>
      </c>
      <c r="F3" s="7">
        <v>36</v>
      </c>
      <c r="G3" s="7">
        <v>1198</v>
      </c>
      <c r="H3" s="7">
        <v>43128</v>
      </c>
      <c r="I3" s="8" t="s">
        <v>33</v>
      </c>
    </row>
    <row r="4" spans="1:9" x14ac:dyDescent="0.3">
      <c r="A4" s="11">
        <v>43157</v>
      </c>
      <c r="B4" s="7" t="s">
        <v>20</v>
      </c>
      <c r="C4" s="7" t="s">
        <v>21</v>
      </c>
      <c r="D4" s="7" t="s">
        <v>22</v>
      </c>
      <c r="E4" s="7" t="s">
        <v>23</v>
      </c>
      <c r="F4" s="7">
        <v>27</v>
      </c>
      <c r="G4" s="7">
        <v>225</v>
      </c>
      <c r="H4" s="7">
        <v>6075</v>
      </c>
      <c r="I4" s="8" t="s">
        <v>24</v>
      </c>
    </row>
    <row r="5" spans="1:9" x14ac:dyDescent="0.3">
      <c r="A5" s="12">
        <v>43174</v>
      </c>
      <c r="B5" s="9" t="s">
        <v>25</v>
      </c>
      <c r="C5" s="9" t="s">
        <v>21</v>
      </c>
      <c r="D5" s="9" t="s">
        <v>26</v>
      </c>
      <c r="E5" s="9" t="s">
        <v>45</v>
      </c>
      <c r="F5" s="9">
        <v>56</v>
      </c>
      <c r="G5" s="9">
        <v>1198</v>
      </c>
      <c r="H5" s="9">
        <v>67088</v>
      </c>
      <c r="I5" s="10" t="s">
        <v>43</v>
      </c>
    </row>
    <row r="6" spans="1:9" x14ac:dyDescent="0.3">
      <c r="A6" s="11">
        <v>43208</v>
      </c>
      <c r="B6" s="7" t="s">
        <v>20</v>
      </c>
      <c r="C6" s="7" t="s">
        <v>28</v>
      </c>
      <c r="D6" s="7" t="s">
        <v>42</v>
      </c>
      <c r="E6" s="7" t="s">
        <v>45</v>
      </c>
      <c r="F6" s="7">
        <v>75</v>
      </c>
      <c r="G6" s="7">
        <v>1198</v>
      </c>
      <c r="H6" s="7">
        <v>89850</v>
      </c>
      <c r="I6" s="8" t="s">
        <v>33</v>
      </c>
    </row>
    <row r="7" spans="1:9" x14ac:dyDescent="0.3">
      <c r="A7" s="11">
        <v>43225</v>
      </c>
      <c r="B7" s="7" t="s">
        <v>20</v>
      </c>
      <c r="C7" s="7" t="s">
        <v>35</v>
      </c>
      <c r="D7" s="7" t="s">
        <v>41</v>
      </c>
      <c r="E7" s="7" t="s">
        <v>45</v>
      </c>
      <c r="F7" s="7">
        <v>90</v>
      </c>
      <c r="G7" s="7">
        <v>1198</v>
      </c>
      <c r="H7" s="7">
        <v>107820</v>
      </c>
      <c r="I7" s="8" t="s">
        <v>43</v>
      </c>
    </row>
    <row r="8" spans="1:9" x14ac:dyDescent="0.3">
      <c r="A8" s="11">
        <v>43344</v>
      </c>
      <c r="B8" s="7" t="s">
        <v>20</v>
      </c>
      <c r="C8" s="7" t="s">
        <v>31</v>
      </c>
      <c r="D8" s="7" t="s">
        <v>38</v>
      </c>
      <c r="E8" s="7" t="s">
        <v>37</v>
      </c>
      <c r="F8" s="7">
        <v>2</v>
      </c>
      <c r="G8" s="7">
        <v>125</v>
      </c>
      <c r="H8" s="7">
        <v>250</v>
      </c>
      <c r="I8" s="7" t="s">
        <v>24</v>
      </c>
    </row>
    <row r="9" spans="1:9" x14ac:dyDescent="0.3">
      <c r="A9" s="12">
        <v>43701</v>
      </c>
      <c r="B9" s="9" t="s">
        <v>25</v>
      </c>
      <c r="C9" s="9" t="s">
        <v>21</v>
      </c>
      <c r="D9" s="9" t="s">
        <v>26</v>
      </c>
      <c r="E9" s="9" t="s">
        <v>37</v>
      </c>
      <c r="F9" s="9">
        <v>3</v>
      </c>
      <c r="G9" s="9">
        <v>125</v>
      </c>
      <c r="H9" s="9">
        <v>375</v>
      </c>
      <c r="I9" s="9" t="s">
        <v>30</v>
      </c>
    </row>
    <row r="10" spans="1:9" x14ac:dyDescent="0.3">
      <c r="A10" s="11">
        <v>43123</v>
      </c>
      <c r="B10" s="7" t="s">
        <v>20</v>
      </c>
      <c r="C10" s="7" t="s">
        <v>35</v>
      </c>
      <c r="D10" s="7" t="s">
        <v>36</v>
      </c>
      <c r="E10" s="7" t="s">
        <v>39</v>
      </c>
      <c r="F10" s="7">
        <v>50</v>
      </c>
      <c r="G10" s="7">
        <v>500</v>
      </c>
      <c r="H10" s="7">
        <v>25000</v>
      </c>
      <c r="I10" s="7" t="s">
        <v>30</v>
      </c>
    </row>
    <row r="11" spans="1:9" x14ac:dyDescent="0.3">
      <c r="A11" s="12">
        <v>43378</v>
      </c>
      <c r="B11" s="9" t="s">
        <v>20</v>
      </c>
      <c r="C11" s="9" t="s">
        <v>35</v>
      </c>
      <c r="D11" s="9" t="s">
        <v>40</v>
      </c>
      <c r="E11" s="9" t="s">
        <v>39</v>
      </c>
      <c r="F11" s="9">
        <v>28</v>
      </c>
      <c r="G11" s="9">
        <v>500</v>
      </c>
      <c r="H11" s="9">
        <v>14000</v>
      </c>
      <c r="I11" s="9" t="s">
        <v>30</v>
      </c>
    </row>
    <row r="12" spans="1:9" x14ac:dyDescent="0.3">
      <c r="A12" s="11">
        <v>43616</v>
      </c>
      <c r="B12" s="7" t="s">
        <v>20</v>
      </c>
      <c r="C12" s="7" t="s">
        <v>21</v>
      </c>
      <c r="D12" s="7" t="s">
        <v>22</v>
      </c>
      <c r="E12" s="7" t="s">
        <v>39</v>
      </c>
      <c r="F12" s="7">
        <v>80</v>
      </c>
      <c r="G12" s="7">
        <v>500</v>
      </c>
      <c r="H12" s="7">
        <v>40000</v>
      </c>
      <c r="I12" s="7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</vt:i4>
      </vt:variant>
    </vt:vector>
  </HeadingPairs>
  <TitlesOfParts>
    <vt:vector size="16" baseType="lpstr">
      <vt:lpstr>Practice Date Formule</vt:lpstr>
      <vt:lpstr>Sheet3</vt:lpstr>
      <vt:lpstr>Some Advance Maths</vt:lpstr>
      <vt:lpstr>Sheet4</vt:lpstr>
      <vt:lpstr>Sheet1</vt:lpstr>
      <vt:lpstr>Scenario Summary</vt:lpstr>
      <vt:lpstr>Scenario Summary 2</vt:lpstr>
      <vt:lpstr>Sheet2</vt:lpstr>
      <vt:lpstr>Sheet8</vt:lpstr>
      <vt:lpstr>Sheet9</vt:lpstr>
      <vt:lpstr>Sheet5</vt:lpstr>
      <vt:lpstr>Sheet7</vt:lpstr>
      <vt:lpstr>Sheet10</vt:lpstr>
      <vt:lpstr>Sheet6</vt:lpstr>
      <vt:lpstr>Total_Profit</vt:lpstr>
      <vt:lpstr>Unit_Sales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Navneet Katheriya</dc:creator>
  <cp:lastModifiedBy>pc</cp:lastModifiedBy>
  <cp:lastPrinted>2026-01-23T06:17:48Z</cp:lastPrinted>
  <dcterms:created xsi:type="dcterms:W3CDTF">2015-06-05T18:17:20Z</dcterms:created>
  <dcterms:modified xsi:type="dcterms:W3CDTF">2026-01-27T06:40:49Z</dcterms:modified>
</cp:coreProperties>
</file>