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Data_Analyst_Practice_Files\Neeraj Data\"/>
    </mc:Choice>
  </mc:AlternateContent>
  <xr:revisionPtr revIDLastSave="0" documentId="13_ncr:1_{97BF1493-5EA4-4EBF-A96D-747ECEDEDA0F}" xr6:coauthVersionLast="36" xr6:coauthVersionMax="36" xr10:uidLastSave="{00000000-0000-0000-0000-000000000000}"/>
  <bookViews>
    <workbookView xWindow="0" yWindow="0" windowWidth="22260" windowHeight="12648" firstSheet="2" activeTab="7" xr2:uid="{00000000-000D-0000-FFFF-FFFF00000000}"/>
  </bookViews>
  <sheets>
    <sheet name="Practice Date Formule" sheetId="1" r:id="rId1"/>
    <sheet name="Some Advance Maths" sheetId="2" r:id="rId2"/>
    <sheet name="Sheet4" sheetId="6" r:id="rId3"/>
    <sheet name="Sheet1" sheetId="10" r:id="rId4"/>
    <sheet name="Sheet2" sheetId="11" r:id="rId5"/>
    <sheet name="Scenario Summary 2" sheetId="20" r:id="rId6"/>
    <sheet name="Scenario PivotTable" sheetId="21" r:id="rId7"/>
    <sheet name="Sheet10" sheetId="17" r:id="rId8"/>
    <sheet name="Sheet5" sheetId="7" r:id="rId9"/>
    <sheet name="Sheet6" sheetId="8" r:id="rId10"/>
  </sheets>
  <definedNames>
    <definedName name="budget">#REF!</definedName>
    <definedName name="Chair">Sheet10!$F$10</definedName>
    <definedName name="Fan">Sheet10!$F$12</definedName>
    <definedName name="razor">#REF!</definedName>
    <definedName name="Table">Sheet10!$F$11</definedName>
    <definedName name="Total_Cost">Sheet10!$F$14</definedName>
    <definedName name="Total_Profit">Sheet2!$F$14</definedName>
    <definedName name="Unit_Sales">Sheet2!$F$7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7" l="1"/>
  <c r="I6" i="10"/>
  <c r="F5" i="10"/>
  <c r="G47" i="2" l="1"/>
  <c r="F47" i="2"/>
  <c r="E47" i="2"/>
  <c r="G40" i="2"/>
  <c r="F40" i="2"/>
  <c r="E40" i="2"/>
  <c r="G26" i="2"/>
  <c r="G48" i="2" s="1"/>
  <c r="F26" i="2"/>
  <c r="F48" i="2" s="1"/>
  <c r="E26" i="2"/>
  <c r="E48" i="2" s="1"/>
  <c r="F12" i="11"/>
  <c r="F13" i="11" s="1"/>
  <c r="F14" i="11" s="1"/>
  <c r="B5" i="11"/>
  <c r="D9" i="10"/>
  <c r="I7" i="6" l="1"/>
  <c r="F4" i="6"/>
  <c r="C8" i="6"/>
  <c r="Q12" i="2" l="1"/>
  <c r="Q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<sst xmlns="http://schemas.openxmlformats.org/spreadsheetml/2006/main" count="479" uniqueCount="80">
  <si>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</si>
  <si>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</si>
  <si>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</si>
  <si>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</si>
  <si>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</si>
  <si>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</si>
  <si>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</si>
  <si>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</si>
  <si>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</si>
  <si>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</si>
  <si>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</si>
  <si>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</si>
  <si>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</si>
  <si>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</si>
  <si>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</si>
  <si>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</si>
  <si>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</si>
  <si>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</si>
  <si>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</si>
  <si>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</si>
  <si>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</si>
  <si>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</si>
  <si>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</si>
  <si>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</si>
  <si>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</si>
  <si>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</si>
  <si>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</si>
  <si>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</si>
  <si>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</si>
  <si>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</si>
  <si>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</si>
  <si>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</si>
  <si>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</si>
  <si>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</si>
  <si>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</si>
  <si>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</si>
  <si>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</si>
  <si>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</si>
  <si>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</si>
  <si>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</si>
  <si>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</si>
  <si>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</si>
  <si>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</si>
  <si>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</si>
  <si>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</si>
  <si>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</si>
  <si>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</si>
  <si>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</si>
  <si>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</si>
  <si>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</si>
  <si>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</si>
  <si>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</si>
  <si>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</si>
  <si>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</si>
  <si>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</si>
  <si>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</si>
  <si>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</si>
  <si>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Central Total</t>
  </si>
  <si>
    <t>East Total</t>
  </si>
  <si>
    <t>West Total</t>
  </si>
  <si>
    <t>Group1</t>
  </si>
  <si>
    <t>Group2</t>
  </si>
  <si>
    <t>Group3</t>
  </si>
  <si>
    <t>Chair</t>
  </si>
  <si>
    <t>Table</t>
  </si>
  <si>
    <t>Fan</t>
  </si>
  <si>
    <t>Low-Level_shop</t>
  </si>
  <si>
    <t>Created by pc on 28-01-2026</t>
  </si>
  <si>
    <t>Medium_Level_Shop</t>
  </si>
  <si>
    <t>High_Level_Shop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</si>
  <si>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</si>
  <si>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</si>
  <si>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</si>
  <si>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</si>
  <si>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</si>
  <si>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</si>
  <si>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</si>
  <si>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Total_Cost</t>
  </si>
  <si>
    <t>$F$10:$F$12 by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</si>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</sst>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7" xfId="1" applyNumberFormat="1" applyFont="1" applyFill="1" applyBorder="1" applyAlignment="1"/>
    <xf numFmtId="43" fontId="1" fillId="3" borderId="7" xfId="2" applyNumberFormat="1" applyFont="1" applyFill="1" applyBorder="1" applyAlignment="1">
      <alignment horizontal="left" vertical="center"/>
    </xf>
    <xf numFmtId="0" fontId="3" fillId="3" borderId="8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9" xfId="0" applyFill="1" applyBorder="1"/>
    <xf numFmtId="0" fontId="0" fillId="4" borderId="2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10" xfId="1" applyNumberFormat="1" applyFont="1" applyFill="1" applyBorder="1" applyAlignment="1"/>
    <xf numFmtId="0" fontId="0" fillId="4" borderId="6" xfId="0" applyFont="1" applyFill="1" applyBorder="1"/>
    <xf numFmtId="0" fontId="0" fillId="4" borderId="10" xfId="0" applyFont="1" applyFill="1" applyBorder="1"/>
    <xf numFmtId="0" fontId="0" fillId="0" borderId="6" xfId="0" applyFont="1" applyBorder="1"/>
    <xf numFmtId="0" fontId="0" fillId="0" borderId="10" xfId="0" applyFont="1" applyBorder="1"/>
    <xf numFmtId="0" fontId="0" fillId="4" borderId="0" xfId="0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5" fillId="6" borderId="13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0" fillId="0" borderId="14" xfId="0" applyFill="1" applyBorder="1" applyAlignment="1"/>
    <xf numFmtId="0" fontId="6" fillId="7" borderId="0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right"/>
    </xf>
    <xf numFmtId="0" fontId="8" fillId="6" borderId="13" xfId="0" applyFont="1" applyFill="1" applyBorder="1" applyAlignment="1">
      <alignment horizontal="right"/>
    </xf>
    <xf numFmtId="0" fontId="0" fillId="8" borderId="0" xfId="0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0.276459722219" createdVersion="6" refreshedVersion="6" minRefreshableVersion="3" recordCount="23" xr:uid="{8B967D36-372C-4DBD-A624-00EE609D0AE5}">
  <cacheSource type="worksheet">
    <worksheetSource name="Table1"/>
  </cacheSource>
  <cacheFields count="12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2-26T00:00:00"/>
        <d v="2018-09-01T00:00:00"/>
        <d v="2018-01-23T00:00:00"/>
        <d v="2018-11-25T00:00:00"/>
        <d v="2018-02-09T00:00:00"/>
        <d v="2018-03-15T00:00:00"/>
        <d v="2018-04-18T00:00:00"/>
        <d v="2018-05-05T00:00:00"/>
        <d v="2019-08-24T00:00:00"/>
        <d v="2018-10-05T00:00:00"/>
        <d v="2019-05-31T00:00:00"/>
        <d v="2019-12-04T00:00:00"/>
        <d v="2018-05-22T00:00:00"/>
        <d v="2018-06-25T00:00:00"/>
        <d v="2018-08-15T00:00:00"/>
        <d v="2018-10-22T00:00:00"/>
        <d v="2018-11-08T00:00:00"/>
        <d v="2018-04-01T00:00:00"/>
        <d v="2019-02-18T00:00:00"/>
        <d v="2018-07-12T00:00:00"/>
        <d v="2018-07-29T00:00:00"/>
        <d v="2018-06-08T00:00:00"/>
      </sharedItems>
      <fieldGroup par="10" base="0">
        <rangePr groupBy="months" startDate="2018-01-06T00:00:00" endDate="2019-12-05T00:00:00"/>
        <groupItems count="14">
          <s v="&lt;06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2-19"/>
        </groupItems>
      </fieldGroup>
    </cacheField>
    <cacheField name="Region" numFmtId="0">
      <sharedItems count="3">
        <s v="East"/>
        <s v="Central"/>
        <s v="West"/>
      </sharedItems>
    </cacheField>
    <cacheField name="Manager" numFmtId="0">
      <sharedItems count="4">
        <s v="Martha"/>
        <s v="Timothy"/>
        <s v="Douglas"/>
        <s v="Hermann"/>
      </sharedItems>
    </cacheField>
    <cacheField name="SalesMan" numFmtId="0">
      <sharedItems count="11">
        <s v="Alexander"/>
        <s v="David"/>
        <s v="John"/>
        <s v="Shelli"/>
        <s v="Luis"/>
        <s v="Stephen"/>
        <s v="Steven"/>
        <s v="Sigal"/>
        <s v="Michael"/>
        <s v="Karen"/>
        <s v="Diana"/>
      </sharedItems>
      <fieldGroup par="11"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  <cacheField name="Quarters" numFmtId="0" databaseField="0">
      <fieldGroup base="0">
        <rangePr groupBy="quarters" startDate="2018-01-06T00:00:00" endDate="2019-12-05T00:00:00"/>
        <groupItems count="6">
          <s v="&lt;06-01-18"/>
          <s v="Qtr1"/>
          <s v="Qtr2"/>
          <s v="Qtr3"/>
          <s v="Qtr4"/>
          <s v="&gt;05-12-19"/>
        </groupItems>
      </fieldGroup>
    </cacheField>
    <cacheField name="Years" numFmtId="0" databaseField="0">
      <fieldGroup base="0">
        <rangePr groupBy="years" startDate="2018-01-06T00:00:00" endDate="2019-12-05T00:00:00"/>
        <groupItems count="4">
          <s v="&lt;06-01-18"/>
          <s v="2018"/>
          <s v="2019"/>
          <s v="&gt;05-12-19"/>
        </groupItems>
      </fieldGroup>
    </cacheField>
    <cacheField name="SalesMan2" numFmtId="0" databaseField="0">
      <fieldGroup base="3">
        <discretePr count="11">
          <x v="0"/>
          <x v="0"/>
          <x v="0"/>
          <x v="1"/>
          <x v="1"/>
          <x v="2"/>
          <x v="2"/>
          <x v="2"/>
          <x v="1"/>
          <x v="0"/>
          <x v="0"/>
        </discretePr>
        <groupItems count="3"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50.470692476854" createdVersion="6" refreshedVersion="6" minRefreshableVersion="3" recordCount="3" xr:uid="{79C325C7-FF09-4B50-A1CE-7894349E5E94}">
  <cacheSource type="scenario"/>
  <cacheFields count="3">
    <cacheField name="$F$10:$F$12" numFmtId="0">
      <sharedItems containsNonDate="0" count="3">
        <s v="Low-Level_shop"/>
        <s v="Medium_Level_Shop"/>
        <s v="High_Level_Shop"/>
      </sharedItems>
    </cacheField>
    <cacheField name="$F$10:$F$12 by" numFmtId="0">
      <sharedItems containsNonDate="0" count="1">
        <s v="pc"/>
      </sharedItems>
    </cacheField>
    <cacheField name="res Total_Cost" numFmtId="0">
      <sharedItems containsSemiMixedTypes="0" containsNonDate="0" containsString="0" containsNumber="1" containsInteger="1" minValue="1200" maxValue="4500" count="3">
        <n v="1200"/>
        <n v="2300"/>
        <n v="4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s v="Television"/>
    <n v="95"/>
    <n v="1198"/>
    <n v="113810"/>
    <s v="UPI"/>
  </r>
  <r>
    <x v="1"/>
    <x v="1"/>
    <x v="1"/>
    <x v="1"/>
    <s v="Cell Phone"/>
    <n v="27"/>
    <n v="225"/>
    <n v="6075"/>
    <s v="NET BANKING"/>
  </r>
  <r>
    <x v="2"/>
    <x v="1"/>
    <x v="2"/>
    <x v="2"/>
    <s v="Desk"/>
    <n v="2"/>
    <n v="125"/>
    <n v="250"/>
    <s v="NET BANKING"/>
  </r>
  <r>
    <x v="3"/>
    <x v="1"/>
    <x v="3"/>
    <x v="3"/>
    <s v="Home Theater"/>
    <n v="50"/>
    <n v="500"/>
    <n v="25000"/>
    <s v="CASH"/>
  </r>
  <r>
    <x v="4"/>
    <x v="1"/>
    <x v="3"/>
    <x v="3"/>
    <s v="Video Games"/>
    <n v="96"/>
    <n v="58.5"/>
    <n v="5616"/>
    <s v="NET BANKING"/>
  </r>
  <r>
    <x v="5"/>
    <x v="1"/>
    <x v="3"/>
    <x v="4"/>
    <s v="Television"/>
    <n v="36"/>
    <n v="1198"/>
    <n v="43128"/>
    <s v="DEBIT CARD"/>
  </r>
  <r>
    <x v="6"/>
    <x v="2"/>
    <x v="1"/>
    <x v="5"/>
    <s v="Television"/>
    <n v="56"/>
    <n v="1198"/>
    <n v="67088"/>
    <s v="UPI"/>
  </r>
  <r>
    <x v="7"/>
    <x v="1"/>
    <x v="0"/>
    <x v="6"/>
    <s v="Television"/>
    <n v="75"/>
    <n v="1198"/>
    <n v="89850"/>
    <s v="DEBIT CARD"/>
  </r>
  <r>
    <x v="8"/>
    <x v="1"/>
    <x v="3"/>
    <x v="4"/>
    <s v="Television"/>
    <n v="90"/>
    <n v="1198"/>
    <n v="107820"/>
    <s v="UPI"/>
  </r>
  <r>
    <x v="9"/>
    <x v="2"/>
    <x v="1"/>
    <x v="5"/>
    <s v="Desk"/>
    <n v="3"/>
    <n v="125"/>
    <n v="375"/>
    <s v="CASH"/>
  </r>
  <r>
    <x v="10"/>
    <x v="1"/>
    <x v="3"/>
    <x v="7"/>
    <s v="Home Theater"/>
    <n v="28"/>
    <n v="500"/>
    <n v="14000"/>
    <s v="CASH"/>
  </r>
  <r>
    <x v="11"/>
    <x v="1"/>
    <x v="1"/>
    <x v="1"/>
    <s v="Home Theater"/>
    <n v="80"/>
    <n v="500"/>
    <n v="40000"/>
    <s v="CASH"/>
  </r>
  <r>
    <x v="12"/>
    <x v="1"/>
    <x v="3"/>
    <x v="4"/>
    <s v="Home Theater"/>
    <n v="94"/>
    <n v="500"/>
    <n v="47000"/>
    <s v="CASH"/>
  </r>
  <r>
    <x v="13"/>
    <x v="2"/>
    <x v="2"/>
    <x v="8"/>
    <s v="Television"/>
    <n v="32"/>
    <n v="1198"/>
    <n v="38336"/>
    <s v="CASH"/>
  </r>
  <r>
    <x v="14"/>
    <x v="1"/>
    <x v="3"/>
    <x v="7"/>
    <s v="Television"/>
    <n v="90"/>
    <n v="1198"/>
    <n v="107820"/>
    <s v="CASH"/>
  </r>
  <r>
    <x v="15"/>
    <x v="0"/>
    <x v="0"/>
    <x v="0"/>
    <s v="Television"/>
    <n v="35"/>
    <n v="1198"/>
    <n v="41930"/>
    <s v="DEBIT CARD"/>
  </r>
  <r>
    <x v="16"/>
    <x v="0"/>
    <x v="0"/>
    <x v="0"/>
    <s v="Cell Phone"/>
    <n v="64"/>
    <n v="225"/>
    <n v="14400"/>
    <s v="NET BANKING"/>
  </r>
  <r>
    <x v="17"/>
    <x v="0"/>
    <x v="2"/>
    <x v="9"/>
    <s v="Cell Phone"/>
    <n v="15"/>
    <n v="225"/>
    <n v="3375"/>
    <s v="DEBIT CARD"/>
  </r>
  <r>
    <x v="18"/>
    <x v="0"/>
    <x v="0"/>
    <x v="0"/>
    <s v="Home Theater"/>
    <n v="60"/>
    <n v="500"/>
    <n v="30000"/>
    <s v="CASH"/>
  </r>
  <r>
    <x v="19"/>
    <x v="0"/>
    <x v="0"/>
    <x v="0"/>
    <s v="Home Theater"/>
    <n v="4"/>
    <n v="500"/>
    <n v="2000"/>
    <s v="CASH"/>
  </r>
  <r>
    <x v="20"/>
    <x v="0"/>
    <x v="0"/>
    <x v="10"/>
    <s v="Home Theater"/>
    <n v="29"/>
    <n v="500"/>
    <n v="14500"/>
    <s v="DEBIT CARD"/>
  </r>
  <r>
    <x v="21"/>
    <x v="0"/>
    <x v="2"/>
    <x v="9"/>
    <s v="Home Theater"/>
    <n v="81"/>
    <n v="500"/>
    <n v="40500"/>
    <s v="NET BANKING"/>
  </r>
  <r>
    <x v="22"/>
    <x v="0"/>
    <x v="0"/>
    <x v="0"/>
    <s v="Home Theater"/>
    <n v="60"/>
    <n v="500"/>
    <n v="3000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F8A4F-5506-4B14-BF13-68D75C3774D1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fieldListSortAscending="1">
  <location ref="A3:B6" firstHeaderRow="1" firstDataRow="1" firstDataCol="1" rowPageCount="1" colPageCount="1"/>
  <pivotFields count="3">
    <pivotField axis="axisRow" showAll="0" sortType="a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 v="1"/>
    </i>
    <i>
      <x v="2"/>
    </i>
    <i>
      <x/>
    </i>
  </rowItems>
  <colItems count="1">
    <i/>
  </colItems>
  <pageFields count="1">
    <pageField fld="1" hier="-1"/>
  </pageFields>
  <dataFields count="1">
    <dataField name="Total_Cos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EECB2-1055-4759-ADD8-B0533BF02DF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12">
        <item x="0"/>
        <item x="1"/>
        <item x="10"/>
        <item x="2"/>
        <item x="9"/>
        <item x="4"/>
        <item x="8"/>
        <item x="3"/>
        <item x="7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</pivotFields>
  <rowFields count="2">
    <field x="11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46050</v>
      </c>
      <c r="B2" s="5">
        <f ca="1">NOW()</f>
        <v>46050.470901388886</v>
      </c>
      <c r="C2">
        <f ca="1">YEAR(B2)</f>
        <v>2026</v>
      </c>
      <c r="D2">
        <f ca="1">MONTH(B2)</f>
        <v>1</v>
      </c>
      <c r="E2">
        <f ca="1">DAY(B2)</f>
        <v>28</v>
      </c>
      <c r="F2">
        <f ca="1">HOUR(B2)</f>
        <v>11</v>
      </c>
      <c r="G2">
        <f ca="1">MINUTE(B2)</f>
        <v>18</v>
      </c>
      <c r="H2">
        <f ca="1">SECOND(B2)</f>
        <v>6</v>
      </c>
      <c r="I2" s="5">
        <f ca="1">EDATE(A2,4)</f>
        <v>46170</v>
      </c>
    </row>
    <row r="4" spans="1:11" x14ac:dyDescent="0.3">
      <c r="I4" s="4">
        <f ca="1">EDATE(A2,3*12)</f>
        <v>47146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Q49"/>
  <sheetViews>
    <sheetView zoomScale="160" zoomScaleNormal="160" workbookViewId="0">
      <selection activeCell="F47" sqref="F47"/>
    </sheetView>
  </sheetViews>
  <sheetFormatPr defaultRowHeight="14.4" outlineLevelRow="2" x14ac:dyDescent="0.3"/>
  <cols>
    <col min="1" max="1" width="11.6640625" bestFit="1" customWidth="1"/>
    <col min="2" max="2" width="10.88671875" customWidth="1"/>
    <col min="3" max="3" width="11.33203125" customWidth="1"/>
    <col min="4" max="4" width="12.6640625" bestFit="1" customWidth="1"/>
    <col min="5" max="5" width="7.44140625" customWidth="1"/>
    <col min="6" max="6" width="13.21875" customWidth="1"/>
    <col min="7" max="7" width="11.109375" bestFit="1" customWidth="1"/>
    <col min="8" max="8" width="15.6640625" customWidth="1"/>
    <col min="9" max="9" width="7" bestFit="1" customWidth="1"/>
    <col min="10" max="10" width="7.77734375" customWidth="1"/>
    <col min="11" max="11" width="8.5546875" customWidth="1"/>
    <col min="12" max="12" width="8" customWidth="1"/>
    <col min="13" max="13" width="9.109375" customWidth="1"/>
    <col min="14" max="14" width="9.88671875" customWidth="1"/>
    <col min="17" max="17" width="14.33203125" customWidth="1"/>
  </cols>
  <sheetData>
    <row r="1" spans="1:17" x14ac:dyDescent="0.3">
      <c r="A1" s="30" t="s">
        <v>12</v>
      </c>
      <c r="B1" s="31" t="s">
        <v>13</v>
      </c>
      <c r="C1" s="31" t="s">
        <v>14</v>
      </c>
      <c r="D1" s="31" t="s">
        <v>15</v>
      </c>
      <c r="E1" s="31" t="s">
        <v>16</v>
      </c>
      <c r="F1" s="32" t="s">
        <v>17</v>
      </c>
      <c r="G1" s="31" t="s">
        <v>18</v>
      </c>
      <c r="H1" s="33" t="s">
        <v>19</v>
      </c>
    </row>
    <row r="2" spans="1:17" hidden="1" outlineLevel="2" x14ac:dyDescent="0.3">
      <c r="A2" s="34" t="s">
        <v>20</v>
      </c>
      <c r="B2" s="2" t="s">
        <v>35</v>
      </c>
      <c r="C2" s="2" t="s">
        <v>41</v>
      </c>
      <c r="D2" s="2" t="s">
        <v>45</v>
      </c>
      <c r="E2" s="2">
        <v>36</v>
      </c>
      <c r="F2" s="2">
        <v>1198</v>
      </c>
      <c r="G2" s="2">
        <v>43128</v>
      </c>
      <c r="H2" s="35" t="s">
        <v>33</v>
      </c>
    </row>
    <row r="3" spans="1:17" hidden="1" outlineLevel="2" x14ac:dyDescent="0.3">
      <c r="A3" s="34" t="s">
        <v>20</v>
      </c>
      <c r="B3" s="2" t="s">
        <v>21</v>
      </c>
      <c r="C3" s="2" t="s">
        <v>22</v>
      </c>
      <c r="D3" s="2" t="s">
        <v>23</v>
      </c>
      <c r="E3" s="2">
        <v>27</v>
      </c>
      <c r="F3" s="2">
        <v>225</v>
      </c>
      <c r="G3" s="2">
        <v>6075</v>
      </c>
      <c r="H3" s="35" t="s">
        <v>24</v>
      </c>
    </row>
    <row r="4" spans="1:17" hidden="1" outlineLevel="2" x14ac:dyDescent="0.3">
      <c r="A4" s="34" t="s">
        <v>20</v>
      </c>
      <c r="B4" s="2" t="s">
        <v>28</v>
      </c>
      <c r="C4" s="2" t="s">
        <v>42</v>
      </c>
      <c r="D4" s="2" t="s">
        <v>45</v>
      </c>
      <c r="E4" s="2">
        <v>75</v>
      </c>
      <c r="F4" s="2">
        <v>1198</v>
      </c>
      <c r="G4" s="2">
        <v>89850</v>
      </c>
      <c r="H4" s="35" t="s">
        <v>33</v>
      </c>
    </row>
    <row r="5" spans="1:17" hidden="1" outlineLevel="2" x14ac:dyDescent="0.3">
      <c r="A5" s="34" t="s">
        <v>20</v>
      </c>
      <c r="B5" s="2" t="s">
        <v>35</v>
      </c>
      <c r="C5" s="2" t="s">
        <v>41</v>
      </c>
      <c r="D5" s="2" t="s">
        <v>45</v>
      </c>
      <c r="E5" s="2">
        <v>90</v>
      </c>
      <c r="F5" s="2">
        <v>1198</v>
      </c>
      <c r="G5" s="2">
        <v>107820</v>
      </c>
      <c r="H5" s="35" t="s">
        <v>43</v>
      </c>
    </row>
    <row r="6" spans="1:17" hidden="1" outlineLevel="2" x14ac:dyDescent="0.3">
      <c r="A6" s="34" t="s">
        <v>20</v>
      </c>
      <c r="B6" s="2" t="s">
        <v>31</v>
      </c>
      <c r="C6" s="2" t="s">
        <v>38</v>
      </c>
      <c r="D6" s="2" t="s">
        <v>37</v>
      </c>
      <c r="E6" s="2">
        <v>2</v>
      </c>
      <c r="F6" s="2">
        <v>125</v>
      </c>
      <c r="G6" s="2">
        <v>250</v>
      </c>
      <c r="H6" s="35" t="s">
        <v>24</v>
      </c>
    </row>
    <row r="7" spans="1:17" hidden="1" outlineLevel="2" x14ac:dyDescent="0.3">
      <c r="A7" s="34" t="s">
        <v>20</v>
      </c>
      <c r="B7" s="2" t="s">
        <v>35</v>
      </c>
      <c r="C7" s="2" t="s">
        <v>36</v>
      </c>
      <c r="D7" s="2" t="s">
        <v>39</v>
      </c>
      <c r="E7" s="2">
        <v>50</v>
      </c>
      <c r="F7" s="2">
        <v>500</v>
      </c>
      <c r="G7" s="2">
        <v>25000</v>
      </c>
      <c r="H7" s="35" t="s">
        <v>30</v>
      </c>
    </row>
    <row r="8" spans="1:17" hidden="1" outlineLevel="2" x14ac:dyDescent="0.3">
      <c r="A8" s="36" t="s">
        <v>20</v>
      </c>
      <c r="B8" s="3" t="s">
        <v>35</v>
      </c>
      <c r="C8" s="3" t="s">
        <v>40</v>
      </c>
      <c r="D8" s="3" t="s">
        <v>39</v>
      </c>
      <c r="E8" s="3">
        <v>28</v>
      </c>
      <c r="F8" s="3">
        <v>500</v>
      </c>
      <c r="G8" s="3">
        <v>14000</v>
      </c>
      <c r="H8" s="37" t="s">
        <v>30</v>
      </c>
    </row>
    <row r="9" spans="1:17" hidden="1" outlineLevel="2" x14ac:dyDescent="0.3">
      <c r="A9" s="34" t="s">
        <v>20</v>
      </c>
      <c r="B9" s="2" t="s">
        <v>21</v>
      </c>
      <c r="C9" s="2" t="s">
        <v>22</v>
      </c>
      <c r="D9" s="2" t="s">
        <v>39</v>
      </c>
      <c r="E9" s="2">
        <v>80</v>
      </c>
      <c r="F9" s="2">
        <v>500</v>
      </c>
      <c r="G9" s="2">
        <v>40000</v>
      </c>
      <c r="H9" s="35" t="s">
        <v>30</v>
      </c>
    </row>
    <row r="10" spans="1:17" hidden="1" outlineLevel="2" x14ac:dyDescent="0.3">
      <c r="A10" s="36" t="s">
        <v>20</v>
      </c>
      <c r="B10" s="3" t="s">
        <v>35</v>
      </c>
      <c r="C10" s="3" t="s">
        <v>41</v>
      </c>
      <c r="D10" s="3" t="s">
        <v>39</v>
      </c>
      <c r="E10" s="3">
        <v>94</v>
      </c>
      <c r="F10" s="3">
        <v>500</v>
      </c>
      <c r="G10" s="3">
        <v>47000</v>
      </c>
      <c r="H10" s="37" t="s">
        <v>30</v>
      </c>
      <c r="Q10">
        <f>SUMIF('Some Advance Maths'!$A$2:$A$46,"Central",'Some Advance Maths'!$G$2:$G$46)</f>
        <v>829769.5</v>
      </c>
    </row>
    <row r="11" spans="1:17" hidden="1" outlineLevel="2" x14ac:dyDescent="0.3">
      <c r="A11" s="36" t="s">
        <v>20</v>
      </c>
      <c r="B11" s="3" t="s">
        <v>35</v>
      </c>
      <c r="C11" s="3" t="s">
        <v>40</v>
      </c>
      <c r="D11" s="3" t="s">
        <v>45</v>
      </c>
      <c r="E11" s="3">
        <v>90</v>
      </c>
      <c r="F11" s="3">
        <v>1198</v>
      </c>
      <c r="G11" s="3">
        <v>107820</v>
      </c>
      <c r="H11" s="37" t="s">
        <v>30</v>
      </c>
    </row>
    <row r="12" spans="1:17" hidden="1" outlineLevel="2" x14ac:dyDescent="0.3">
      <c r="A12" s="36" t="s">
        <v>20</v>
      </c>
      <c r="B12" s="3" t="s">
        <v>35</v>
      </c>
      <c r="C12" s="3" t="s">
        <v>36</v>
      </c>
      <c r="D12" s="3" t="s">
        <v>46</v>
      </c>
      <c r="E12" s="3">
        <v>96</v>
      </c>
      <c r="F12" s="3">
        <v>58.5</v>
      </c>
      <c r="G12" s="3">
        <v>5616</v>
      </c>
      <c r="H12" s="37" t="s">
        <v>24</v>
      </c>
      <c r="Q12">
        <f>SUMIFS('Some Advance Maths'!$G$2:$G$46,'Some Advance Maths'!$A$2:$A$46,"Central",'Some Advance Maths'!$H$2:$H$46,"CASH")</f>
        <v>233820</v>
      </c>
    </row>
    <row r="13" spans="1:17" hidden="1" outlineLevel="2" x14ac:dyDescent="0.3">
      <c r="A13" s="34" t="s">
        <v>20</v>
      </c>
      <c r="B13" s="2" t="s">
        <v>31</v>
      </c>
      <c r="C13" s="2" t="s">
        <v>38</v>
      </c>
      <c r="D13" s="2" t="s">
        <v>45</v>
      </c>
      <c r="E13" s="2">
        <v>67</v>
      </c>
      <c r="F13" s="2">
        <v>1198</v>
      </c>
      <c r="G13" s="2">
        <v>80266</v>
      </c>
      <c r="H13" s="35" t="s">
        <v>33</v>
      </c>
    </row>
    <row r="14" spans="1:17" hidden="1" outlineLevel="2" x14ac:dyDescent="0.3">
      <c r="A14" s="34" t="s">
        <v>20</v>
      </c>
      <c r="B14" s="2" t="s">
        <v>21</v>
      </c>
      <c r="C14" s="2" t="s">
        <v>22</v>
      </c>
      <c r="D14" s="2" t="s">
        <v>39</v>
      </c>
      <c r="E14" s="2">
        <v>46</v>
      </c>
      <c r="F14" s="2">
        <v>500</v>
      </c>
      <c r="G14" s="2">
        <v>23000</v>
      </c>
      <c r="H14" s="35" t="s">
        <v>24</v>
      </c>
    </row>
    <row r="15" spans="1:17" hidden="1" outlineLevel="2" x14ac:dyDescent="0.3">
      <c r="A15" s="36" t="s">
        <v>20</v>
      </c>
      <c r="B15" s="3" t="s">
        <v>31</v>
      </c>
      <c r="C15" s="3" t="s">
        <v>38</v>
      </c>
      <c r="D15" s="3" t="s">
        <v>39</v>
      </c>
      <c r="E15" s="3">
        <v>87</v>
      </c>
      <c r="F15" s="3">
        <v>500</v>
      </c>
      <c r="G15" s="3">
        <v>43500</v>
      </c>
      <c r="H15" s="37" t="s">
        <v>43</v>
      </c>
    </row>
    <row r="16" spans="1:17" hidden="1" outlineLevel="2" x14ac:dyDescent="0.3">
      <c r="A16" s="34" t="s">
        <v>20</v>
      </c>
      <c r="B16" s="2" t="s">
        <v>35</v>
      </c>
      <c r="C16" s="2" t="s">
        <v>41</v>
      </c>
      <c r="D16" s="2" t="s">
        <v>46</v>
      </c>
      <c r="E16" s="2">
        <v>50</v>
      </c>
      <c r="F16" s="2">
        <v>58.5</v>
      </c>
      <c r="G16" s="2">
        <v>2925</v>
      </c>
      <c r="H16" s="35" t="s">
        <v>24</v>
      </c>
    </row>
    <row r="17" spans="1:8" hidden="1" outlineLevel="2" x14ac:dyDescent="0.3">
      <c r="A17" s="34" t="s">
        <v>20</v>
      </c>
      <c r="B17" s="2" t="s">
        <v>28</v>
      </c>
      <c r="C17" s="2" t="s">
        <v>42</v>
      </c>
      <c r="D17" s="2" t="s">
        <v>45</v>
      </c>
      <c r="E17" s="2">
        <v>66</v>
      </c>
      <c r="F17" s="2">
        <v>1198</v>
      </c>
      <c r="G17" s="2">
        <v>79068</v>
      </c>
      <c r="H17" s="35" t="s">
        <v>33</v>
      </c>
    </row>
    <row r="18" spans="1:8" hidden="1" outlineLevel="2" x14ac:dyDescent="0.3">
      <c r="A18" s="34" t="s">
        <v>20</v>
      </c>
      <c r="B18" s="2" t="s">
        <v>21</v>
      </c>
      <c r="C18" s="2" t="s">
        <v>22</v>
      </c>
      <c r="D18" s="2" t="s">
        <v>45</v>
      </c>
      <c r="E18" s="2">
        <v>53</v>
      </c>
      <c r="F18" s="2">
        <v>1198</v>
      </c>
      <c r="G18" s="2">
        <v>63494</v>
      </c>
      <c r="H18" s="35" t="s">
        <v>43</v>
      </c>
    </row>
    <row r="19" spans="1:8" hidden="1" outlineLevel="2" x14ac:dyDescent="0.3">
      <c r="A19" s="36" t="s">
        <v>20</v>
      </c>
      <c r="B19" s="3" t="s">
        <v>35</v>
      </c>
      <c r="C19" s="3" t="s">
        <v>36</v>
      </c>
      <c r="D19" s="3" t="s">
        <v>37</v>
      </c>
      <c r="E19" s="3">
        <v>5</v>
      </c>
      <c r="F19" s="3">
        <v>125</v>
      </c>
      <c r="G19" s="3">
        <v>625</v>
      </c>
      <c r="H19" s="37" t="s">
        <v>33</v>
      </c>
    </row>
    <row r="20" spans="1:8" hidden="1" outlineLevel="2" x14ac:dyDescent="0.3">
      <c r="A20" s="34" t="s">
        <v>20</v>
      </c>
      <c r="B20" s="2" t="s">
        <v>35</v>
      </c>
      <c r="C20" s="2" t="s">
        <v>40</v>
      </c>
      <c r="D20" s="2" t="s">
        <v>46</v>
      </c>
      <c r="E20" s="2">
        <v>55</v>
      </c>
      <c r="F20" s="2">
        <v>58.5</v>
      </c>
      <c r="G20" s="2">
        <v>3217.5</v>
      </c>
      <c r="H20" s="35" t="s">
        <v>33</v>
      </c>
    </row>
    <row r="21" spans="1:8" hidden="1" outlineLevel="2" x14ac:dyDescent="0.3">
      <c r="A21" s="34" t="s">
        <v>20</v>
      </c>
      <c r="B21" s="2" t="s">
        <v>35</v>
      </c>
      <c r="C21" s="2" t="s">
        <v>36</v>
      </c>
      <c r="D21" s="2" t="s">
        <v>46</v>
      </c>
      <c r="E21" s="2">
        <v>42</v>
      </c>
      <c r="F21" s="2">
        <v>58.5</v>
      </c>
      <c r="G21" s="2">
        <v>2457</v>
      </c>
      <c r="H21" s="35" t="s">
        <v>24</v>
      </c>
    </row>
    <row r="22" spans="1:8" hidden="1" outlineLevel="2" x14ac:dyDescent="0.3">
      <c r="A22" s="34" t="s">
        <v>20</v>
      </c>
      <c r="B22" s="2" t="s">
        <v>21</v>
      </c>
      <c r="C22" s="2" t="s">
        <v>22</v>
      </c>
      <c r="D22" s="2" t="s">
        <v>45</v>
      </c>
      <c r="E22" s="2">
        <v>7</v>
      </c>
      <c r="F22" s="2">
        <v>1198</v>
      </c>
      <c r="G22" s="2">
        <v>8386</v>
      </c>
      <c r="H22" s="35" t="s">
        <v>33</v>
      </c>
    </row>
    <row r="23" spans="1:8" hidden="1" outlineLevel="2" x14ac:dyDescent="0.3">
      <c r="A23" s="34" t="s">
        <v>20</v>
      </c>
      <c r="B23" s="2" t="s">
        <v>28</v>
      </c>
      <c r="C23" s="2" t="s">
        <v>42</v>
      </c>
      <c r="D23" s="2" t="s">
        <v>45</v>
      </c>
      <c r="E23" s="2">
        <v>14</v>
      </c>
      <c r="F23" s="2">
        <v>1198</v>
      </c>
      <c r="G23" s="2">
        <v>16772</v>
      </c>
      <c r="H23" s="35" t="s">
        <v>33</v>
      </c>
    </row>
    <row r="24" spans="1:8" hidden="1" outlineLevel="2" x14ac:dyDescent="0.3">
      <c r="A24" s="34" t="s">
        <v>20</v>
      </c>
      <c r="B24" s="2" t="s">
        <v>35</v>
      </c>
      <c r="C24" s="2" t="s">
        <v>41</v>
      </c>
      <c r="D24" s="2" t="s">
        <v>39</v>
      </c>
      <c r="E24" s="2">
        <v>11</v>
      </c>
      <c r="F24" s="2">
        <v>500</v>
      </c>
      <c r="G24" s="2">
        <v>5500</v>
      </c>
      <c r="H24" s="35" t="s">
        <v>33</v>
      </c>
    </row>
    <row r="25" spans="1:8" hidden="1" outlineLevel="2" x14ac:dyDescent="0.3">
      <c r="A25" s="34" t="s">
        <v>20</v>
      </c>
      <c r="B25" s="2" t="s">
        <v>28</v>
      </c>
      <c r="C25" s="2" t="s">
        <v>42</v>
      </c>
      <c r="D25" s="2" t="s">
        <v>39</v>
      </c>
      <c r="E25" s="2">
        <v>28</v>
      </c>
      <c r="F25" s="2">
        <v>500</v>
      </c>
      <c r="G25" s="2">
        <v>14000</v>
      </c>
      <c r="H25" s="35" t="s">
        <v>33</v>
      </c>
    </row>
    <row r="26" spans="1:8" outlineLevel="1" collapsed="1" x14ac:dyDescent="0.3">
      <c r="A26" s="39" t="s">
        <v>57</v>
      </c>
      <c r="B26" s="2"/>
      <c r="C26" s="2"/>
      <c r="D26" s="2"/>
      <c r="E26" s="41">
        <f>SUBTOTAL(9,E2:E25)</f>
        <v>1199</v>
      </c>
      <c r="F26" s="41">
        <f>SUBTOTAL(9,F2:F25)</f>
        <v>15491</v>
      </c>
      <c r="G26" s="41">
        <f>SUBTOTAL(9,G2:G25)</f>
        <v>829769.5</v>
      </c>
      <c r="H26" s="35"/>
    </row>
    <row r="27" spans="1:8" hidden="1" outlineLevel="2" x14ac:dyDescent="0.3">
      <c r="A27" s="34" t="s">
        <v>27</v>
      </c>
      <c r="B27" s="2" t="s">
        <v>28</v>
      </c>
      <c r="C27" s="2" t="s">
        <v>34</v>
      </c>
      <c r="D27" s="2" t="s">
        <v>45</v>
      </c>
      <c r="E27" s="2">
        <v>95</v>
      </c>
      <c r="F27" s="2">
        <v>1198</v>
      </c>
      <c r="G27" s="2">
        <v>113810</v>
      </c>
      <c r="H27" s="35" t="s">
        <v>43</v>
      </c>
    </row>
    <row r="28" spans="1:8" hidden="1" outlineLevel="2" x14ac:dyDescent="0.3">
      <c r="A28" s="34" t="s">
        <v>27</v>
      </c>
      <c r="B28" s="2" t="s">
        <v>28</v>
      </c>
      <c r="C28" s="2" t="s">
        <v>34</v>
      </c>
      <c r="D28" s="2" t="s">
        <v>45</v>
      </c>
      <c r="E28" s="2">
        <v>35</v>
      </c>
      <c r="F28" s="2">
        <v>1198</v>
      </c>
      <c r="G28" s="2">
        <v>41930</v>
      </c>
      <c r="H28" s="35" t="s">
        <v>33</v>
      </c>
    </row>
    <row r="29" spans="1:8" hidden="1" outlineLevel="2" x14ac:dyDescent="0.3">
      <c r="A29" s="34" t="s">
        <v>27</v>
      </c>
      <c r="B29" s="2" t="s">
        <v>28</v>
      </c>
      <c r="C29" s="2" t="s">
        <v>34</v>
      </c>
      <c r="D29" s="2" t="s">
        <v>46</v>
      </c>
      <c r="E29" s="2">
        <v>16</v>
      </c>
      <c r="F29" s="2">
        <v>58.5</v>
      </c>
      <c r="G29" s="2">
        <v>936</v>
      </c>
      <c r="H29" s="35" t="s">
        <v>43</v>
      </c>
    </row>
    <row r="30" spans="1:8" hidden="1" outlineLevel="2" x14ac:dyDescent="0.3">
      <c r="A30" s="34" t="s">
        <v>27</v>
      </c>
      <c r="B30" s="2" t="s">
        <v>28</v>
      </c>
      <c r="C30" s="2" t="s">
        <v>34</v>
      </c>
      <c r="D30" s="2" t="s">
        <v>23</v>
      </c>
      <c r="E30" s="2">
        <v>64</v>
      </c>
      <c r="F30" s="2">
        <v>225</v>
      </c>
      <c r="G30" s="2">
        <v>14400</v>
      </c>
      <c r="H30" s="35" t="s">
        <v>24</v>
      </c>
    </row>
    <row r="31" spans="1:8" hidden="1" outlineLevel="2" x14ac:dyDescent="0.3">
      <c r="A31" s="36" t="s">
        <v>27</v>
      </c>
      <c r="B31" s="3" t="s">
        <v>31</v>
      </c>
      <c r="C31" s="3" t="s">
        <v>32</v>
      </c>
      <c r="D31" s="3" t="s">
        <v>23</v>
      </c>
      <c r="E31" s="3">
        <v>15</v>
      </c>
      <c r="F31" s="3">
        <v>225</v>
      </c>
      <c r="G31" s="3">
        <v>3375</v>
      </c>
      <c r="H31" s="37" t="s">
        <v>33</v>
      </c>
    </row>
    <row r="32" spans="1:8" hidden="1" outlineLevel="2" x14ac:dyDescent="0.3">
      <c r="A32" s="34" t="s">
        <v>27</v>
      </c>
      <c r="B32" s="2" t="s">
        <v>28</v>
      </c>
      <c r="C32" s="2" t="s">
        <v>34</v>
      </c>
      <c r="D32" s="2" t="s">
        <v>39</v>
      </c>
      <c r="E32" s="2">
        <v>60</v>
      </c>
      <c r="F32" s="2">
        <v>500</v>
      </c>
      <c r="G32" s="2">
        <v>30000</v>
      </c>
      <c r="H32" s="35" t="s">
        <v>30</v>
      </c>
    </row>
    <row r="33" spans="1:8" hidden="1" outlineLevel="2" x14ac:dyDescent="0.3">
      <c r="A33" s="36" t="s">
        <v>27</v>
      </c>
      <c r="B33" s="3" t="s">
        <v>28</v>
      </c>
      <c r="C33" s="3" t="s">
        <v>34</v>
      </c>
      <c r="D33" s="3" t="s">
        <v>39</v>
      </c>
      <c r="E33" s="3">
        <v>4</v>
      </c>
      <c r="F33" s="3">
        <v>500</v>
      </c>
      <c r="G33" s="3">
        <v>2000</v>
      </c>
      <c r="H33" s="37" t="s">
        <v>30</v>
      </c>
    </row>
    <row r="34" spans="1:8" hidden="1" outlineLevel="2" x14ac:dyDescent="0.3">
      <c r="A34" s="34" t="s">
        <v>27</v>
      </c>
      <c r="B34" s="2" t="s">
        <v>28</v>
      </c>
      <c r="C34" s="2" t="s">
        <v>29</v>
      </c>
      <c r="D34" s="2" t="s">
        <v>39</v>
      </c>
      <c r="E34" s="2">
        <v>29</v>
      </c>
      <c r="F34" s="2">
        <v>500</v>
      </c>
      <c r="G34" s="2">
        <v>14500</v>
      </c>
      <c r="H34" s="35" t="s">
        <v>33</v>
      </c>
    </row>
    <row r="35" spans="1:8" hidden="1" outlineLevel="2" x14ac:dyDescent="0.3">
      <c r="A35" s="36" t="s">
        <v>27</v>
      </c>
      <c r="B35" s="3" t="s">
        <v>31</v>
      </c>
      <c r="C35" s="3" t="s">
        <v>32</v>
      </c>
      <c r="D35" s="3" t="s">
        <v>39</v>
      </c>
      <c r="E35" s="3">
        <v>81</v>
      </c>
      <c r="F35" s="3">
        <v>500</v>
      </c>
      <c r="G35" s="3">
        <v>40500</v>
      </c>
      <c r="H35" s="37" t="s">
        <v>24</v>
      </c>
    </row>
    <row r="36" spans="1:8" hidden="1" outlineLevel="2" x14ac:dyDescent="0.3">
      <c r="A36" s="34" t="s">
        <v>27</v>
      </c>
      <c r="B36" s="2" t="s">
        <v>28</v>
      </c>
      <c r="C36" s="2" t="s">
        <v>34</v>
      </c>
      <c r="D36" s="2" t="s">
        <v>39</v>
      </c>
      <c r="E36" s="2">
        <v>60</v>
      </c>
      <c r="F36" s="2">
        <v>500</v>
      </c>
      <c r="G36" s="2">
        <v>30000</v>
      </c>
      <c r="H36" s="35" t="s">
        <v>43</v>
      </c>
    </row>
    <row r="37" spans="1:8" hidden="1" outlineLevel="2" x14ac:dyDescent="0.3">
      <c r="A37" s="36" t="s">
        <v>27</v>
      </c>
      <c r="B37" s="3" t="s">
        <v>31</v>
      </c>
      <c r="C37" s="3" t="s">
        <v>32</v>
      </c>
      <c r="D37" s="3" t="s">
        <v>46</v>
      </c>
      <c r="E37" s="3">
        <v>74</v>
      </c>
      <c r="F37" s="3">
        <v>58.5</v>
      </c>
      <c r="G37" s="3">
        <v>4329</v>
      </c>
      <c r="H37" s="37" t="s">
        <v>33</v>
      </c>
    </row>
    <row r="38" spans="1:8" hidden="1" outlineLevel="2" x14ac:dyDescent="0.3">
      <c r="A38" s="34" t="s">
        <v>27</v>
      </c>
      <c r="B38" s="2" t="s">
        <v>28</v>
      </c>
      <c r="C38" s="2" t="s">
        <v>29</v>
      </c>
      <c r="D38" s="2" t="s">
        <v>23</v>
      </c>
      <c r="E38" s="2">
        <v>96</v>
      </c>
      <c r="F38" s="2">
        <v>225</v>
      </c>
      <c r="G38" s="2">
        <v>21600</v>
      </c>
      <c r="H38" s="35" t="s">
        <v>30</v>
      </c>
    </row>
    <row r="39" spans="1:8" hidden="1" outlineLevel="2" x14ac:dyDescent="0.3">
      <c r="A39" s="34" t="s">
        <v>27</v>
      </c>
      <c r="B39" s="2" t="s">
        <v>28</v>
      </c>
      <c r="C39" s="2" t="s">
        <v>34</v>
      </c>
      <c r="D39" s="2" t="s">
        <v>46</v>
      </c>
      <c r="E39" s="2">
        <v>62</v>
      </c>
      <c r="F39" s="2">
        <v>58.5</v>
      </c>
      <c r="G39" s="2">
        <v>3627</v>
      </c>
      <c r="H39" s="35" t="s">
        <v>30</v>
      </c>
    </row>
    <row r="40" spans="1:8" outlineLevel="1" collapsed="1" x14ac:dyDescent="0.3">
      <c r="A40" s="39" t="s">
        <v>58</v>
      </c>
      <c r="B40" s="2"/>
      <c r="C40" s="2"/>
      <c r="D40" s="2"/>
      <c r="E40" s="41">
        <f>SUBTOTAL(9,E27:E39)</f>
        <v>691</v>
      </c>
      <c r="F40" s="41">
        <f>SUBTOTAL(9,F27:F39)</f>
        <v>5746.5</v>
      </c>
      <c r="G40" s="41">
        <f>SUBTOTAL(9,G27:G39)</f>
        <v>321007</v>
      </c>
      <c r="H40" s="35"/>
    </row>
    <row r="41" spans="1:8" hidden="1" outlineLevel="2" x14ac:dyDescent="0.3">
      <c r="A41" s="36" t="s">
        <v>25</v>
      </c>
      <c r="B41" s="3" t="s">
        <v>21</v>
      </c>
      <c r="C41" s="3" t="s">
        <v>26</v>
      </c>
      <c r="D41" s="3" t="s">
        <v>45</v>
      </c>
      <c r="E41" s="3">
        <v>56</v>
      </c>
      <c r="F41" s="3">
        <v>1198</v>
      </c>
      <c r="G41" s="3">
        <v>67088</v>
      </c>
      <c r="H41" s="37" t="s">
        <v>43</v>
      </c>
    </row>
    <row r="42" spans="1:8" hidden="1" outlineLevel="2" x14ac:dyDescent="0.3">
      <c r="A42" s="36" t="s">
        <v>25</v>
      </c>
      <c r="B42" s="3" t="s">
        <v>21</v>
      </c>
      <c r="C42" s="3" t="s">
        <v>26</v>
      </c>
      <c r="D42" s="3" t="s">
        <v>37</v>
      </c>
      <c r="E42" s="3">
        <v>3</v>
      </c>
      <c r="F42" s="3">
        <v>125</v>
      </c>
      <c r="G42" s="3">
        <v>375</v>
      </c>
      <c r="H42" s="37" t="s">
        <v>30</v>
      </c>
    </row>
    <row r="43" spans="1:8" hidden="1" outlineLevel="2" x14ac:dyDescent="0.3">
      <c r="A43" s="34" t="s">
        <v>25</v>
      </c>
      <c r="B43" s="2" t="s">
        <v>31</v>
      </c>
      <c r="C43" s="2" t="s">
        <v>44</v>
      </c>
      <c r="D43" s="2" t="s">
        <v>45</v>
      </c>
      <c r="E43" s="2">
        <v>32</v>
      </c>
      <c r="F43" s="2">
        <v>1198</v>
      </c>
      <c r="G43" s="2">
        <v>38336</v>
      </c>
      <c r="H43" s="35" t="s">
        <v>30</v>
      </c>
    </row>
    <row r="44" spans="1:8" hidden="1" outlineLevel="2" x14ac:dyDescent="0.3">
      <c r="A44" s="34" t="s">
        <v>25</v>
      </c>
      <c r="B44" s="2" t="s">
        <v>21</v>
      </c>
      <c r="C44" s="2" t="s">
        <v>26</v>
      </c>
      <c r="D44" s="2" t="s">
        <v>39</v>
      </c>
      <c r="E44" s="2">
        <v>7</v>
      </c>
      <c r="F44" s="2">
        <v>500</v>
      </c>
      <c r="G44" s="2">
        <v>3500</v>
      </c>
      <c r="H44" s="35" t="s">
        <v>33</v>
      </c>
    </row>
    <row r="45" spans="1:8" hidden="1" outlineLevel="2" x14ac:dyDescent="0.3">
      <c r="A45" s="34" t="s">
        <v>25</v>
      </c>
      <c r="B45" s="2" t="s">
        <v>21</v>
      </c>
      <c r="C45" s="2" t="s">
        <v>26</v>
      </c>
      <c r="D45" s="2" t="s">
        <v>23</v>
      </c>
      <c r="E45" s="2">
        <v>76</v>
      </c>
      <c r="F45" s="2">
        <v>225</v>
      </c>
      <c r="G45" s="2">
        <v>17100</v>
      </c>
      <c r="H45" s="35" t="s">
        <v>24</v>
      </c>
    </row>
    <row r="46" spans="1:8" hidden="1" outlineLevel="2" x14ac:dyDescent="0.3">
      <c r="A46" s="29" t="s">
        <v>25</v>
      </c>
      <c r="B46" s="7" t="s">
        <v>31</v>
      </c>
      <c r="C46" s="7" t="s">
        <v>44</v>
      </c>
      <c r="D46" s="7" t="s">
        <v>39</v>
      </c>
      <c r="E46" s="7">
        <v>57</v>
      </c>
      <c r="F46" s="7">
        <v>500</v>
      </c>
      <c r="G46" s="7">
        <v>28500</v>
      </c>
      <c r="H46" s="8" t="s">
        <v>30</v>
      </c>
    </row>
    <row r="47" spans="1:8" outlineLevel="1" collapsed="1" x14ac:dyDescent="0.3">
      <c r="A47" s="40" t="s">
        <v>59</v>
      </c>
      <c r="B47" s="38"/>
      <c r="C47" s="38"/>
      <c r="D47" s="38"/>
      <c r="E47" s="40">
        <f>SUBTOTAL(9,E41:E46)</f>
        <v>231</v>
      </c>
      <c r="F47" s="40">
        <f>SUBTOTAL(9,F41:F46)</f>
        <v>3746</v>
      </c>
      <c r="G47" s="40">
        <f>SUBTOTAL(9,G41:G46)</f>
        <v>154899</v>
      </c>
      <c r="H47" s="38"/>
    </row>
    <row r="48" spans="1:8" x14ac:dyDescent="0.3">
      <c r="A48" s="40" t="s">
        <v>48</v>
      </c>
      <c r="B48" s="38"/>
      <c r="C48" s="38"/>
      <c r="D48" s="38"/>
      <c r="E48" s="40">
        <f>SUBTOTAL(9,E2:E46)</f>
        <v>2121</v>
      </c>
      <c r="F48" s="40">
        <f>SUBTOTAL(9,F2:F46)</f>
        <v>24983.5</v>
      </c>
      <c r="G48" s="40">
        <f>SUBTOTAL(9,G2:G46)</f>
        <v>1305675.5</v>
      </c>
      <c r="H48" s="38"/>
    </row>
    <row r="49" spans="1:8" x14ac:dyDescent="0.3">
      <c r="A49" s="38"/>
      <c r="B49" s="38"/>
      <c r="C49" s="38"/>
      <c r="D49" s="38"/>
      <c r="E49" s="38"/>
      <c r="F49" s="38"/>
      <c r="G49" s="38"/>
      <c r="H49" s="38"/>
    </row>
  </sheetData>
  <sortState ref="A2:H46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4" sqref="B4:C8"/>
    </sheetView>
  </sheetViews>
  <sheetFormatPr defaultRowHeight="14.4" x14ac:dyDescent="0.3"/>
  <sheetData>
    <row r="4" spans="2:17" x14ac:dyDescent="0.3">
      <c r="B4" s="20" t="s">
        <v>50</v>
      </c>
      <c r="C4" s="20">
        <v>500</v>
      </c>
      <c r="F4">
        <f>C4*C5*C6</f>
        <v>27500</v>
      </c>
    </row>
    <row r="5" spans="2:17" x14ac:dyDescent="0.3">
      <c r="B5" s="20" t="s">
        <v>51</v>
      </c>
      <c r="C5" s="20">
        <v>55</v>
      </c>
      <c r="E5">
        <v>500</v>
      </c>
      <c r="F5">
        <f t="dataTable" ref="F5:F18" dt2D="0" dtr="0" r1="C4"/>
        <v>27500</v>
      </c>
    </row>
    <row r="6" spans="2:17" x14ac:dyDescent="0.3">
      <c r="B6" s="20" t="s">
        <v>3</v>
      </c>
      <c r="C6" s="20">
        <v>1</v>
      </c>
      <c r="E6">
        <v>600</v>
      </c>
      <c r="F6">
        <v>33000</v>
      </c>
    </row>
    <row r="7" spans="2:17" x14ac:dyDescent="0.3">
      <c r="B7" s="20"/>
      <c r="C7" s="20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20" t="s">
        <v>52</v>
      </c>
      <c r="C8" s="20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 ca="1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0C8-A63A-4B30-948B-AC6F528DA81C}">
  <dimension ref="C5:O20"/>
  <sheetViews>
    <sheetView zoomScale="115" zoomScaleNormal="115" workbookViewId="0">
      <selection activeCell="D6" sqref="D6"/>
    </sheetView>
  </sheetViews>
  <sheetFormatPr defaultRowHeight="14.4" x14ac:dyDescent="0.3"/>
  <sheetData>
    <row r="5" spans="3:15" x14ac:dyDescent="0.3">
      <c r="C5" s="20" t="s">
        <v>50</v>
      </c>
      <c r="D5" s="20">
        <v>500</v>
      </c>
      <c r="F5">
        <f>D5*D6*D7</f>
        <v>50000</v>
      </c>
    </row>
    <row r="6" spans="3:15" x14ac:dyDescent="0.3">
      <c r="C6" s="20" t="s">
        <v>51</v>
      </c>
      <c r="D6" s="20">
        <v>100</v>
      </c>
      <c r="E6">
        <v>500</v>
      </c>
      <c r="F6">
        <f t="dataTable" ref="F6:F16" dt2D="0" dtr="0" r1="D5" ca="1"/>
        <v>50000</v>
      </c>
      <c r="I6">
        <f>D5*D6*D7</f>
        <v>50000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</row>
    <row r="7" spans="3:15" x14ac:dyDescent="0.3">
      <c r="C7" s="20" t="s">
        <v>3</v>
      </c>
      <c r="D7" s="20">
        <v>1</v>
      </c>
      <c r="E7">
        <v>600</v>
      </c>
      <c r="F7">
        <v>60000</v>
      </c>
      <c r="I7">
        <v>500</v>
      </c>
      <c r="J7">
        <f t="dataTable" ref="J7:O20" dt2D="1" dtr="1" r1="D7" r2="D5"/>
        <v>50000</v>
      </c>
      <c r="K7">
        <v>100000</v>
      </c>
      <c r="L7">
        <v>150000</v>
      </c>
      <c r="M7">
        <v>200000</v>
      </c>
      <c r="N7">
        <v>250000</v>
      </c>
      <c r="O7">
        <v>300000</v>
      </c>
    </row>
    <row r="8" spans="3:15" x14ac:dyDescent="0.3">
      <c r="C8" s="20"/>
      <c r="D8" s="20"/>
      <c r="E8">
        <v>700</v>
      </c>
      <c r="F8">
        <v>70000</v>
      </c>
      <c r="I8">
        <v>600</v>
      </c>
      <c r="J8">
        <v>60000</v>
      </c>
      <c r="K8">
        <v>120000</v>
      </c>
      <c r="L8">
        <v>180000</v>
      </c>
      <c r="M8">
        <v>240000</v>
      </c>
      <c r="N8">
        <v>300000</v>
      </c>
      <c r="O8">
        <v>360000</v>
      </c>
    </row>
    <row r="9" spans="3:15" x14ac:dyDescent="0.3">
      <c r="C9" s="20" t="s">
        <v>52</v>
      </c>
      <c r="D9" s="20">
        <f>D5*D6*D7</f>
        <v>50000</v>
      </c>
      <c r="E9">
        <v>800</v>
      </c>
      <c r="F9">
        <v>80000</v>
      </c>
      <c r="I9">
        <v>700</v>
      </c>
      <c r="J9">
        <v>70000</v>
      </c>
      <c r="K9">
        <v>140000</v>
      </c>
      <c r="L9">
        <v>210000</v>
      </c>
      <c r="M9">
        <v>280000</v>
      </c>
      <c r="N9">
        <v>350000</v>
      </c>
      <c r="O9">
        <v>420000</v>
      </c>
    </row>
    <row r="10" spans="3:15" x14ac:dyDescent="0.3">
      <c r="E10">
        <v>900</v>
      </c>
      <c r="F10">
        <v>90000</v>
      </c>
      <c r="I10">
        <v>800</v>
      </c>
      <c r="J10">
        <v>80000</v>
      </c>
      <c r="K10">
        <v>160000</v>
      </c>
      <c r="L10">
        <v>240000</v>
      </c>
      <c r="M10">
        <v>320000</v>
      </c>
      <c r="N10">
        <v>400000</v>
      </c>
      <c r="O10">
        <v>480000</v>
      </c>
    </row>
    <row r="11" spans="3:15" x14ac:dyDescent="0.3">
      <c r="E11">
        <v>1000</v>
      </c>
      <c r="F11">
        <v>100000</v>
      </c>
      <c r="I11">
        <v>900</v>
      </c>
      <c r="J11">
        <v>90000</v>
      </c>
      <c r="K11">
        <v>180000</v>
      </c>
      <c r="L11">
        <v>270000</v>
      </c>
      <c r="M11">
        <v>360000</v>
      </c>
      <c r="N11">
        <v>450000</v>
      </c>
      <c r="O11">
        <v>540000</v>
      </c>
    </row>
    <row r="12" spans="3:15" x14ac:dyDescent="0.3">
      <c r="E12">
        <v>1100</v>
      </c>
      <c r="F12">
        <v>110000</v>
      </c>
      <c r="I12">
        <v>1000</v>
      </c>
      <c r="J12">
        <v>100000</v>
      </c>
      <c r="K12">
        <v>200000</v>
      </c>
      <c r="L12">
        <v>300000</v>
      </c>
      <c r="M12">
        <v>400000</v>
      </c>
      <c r="N12">
        <v>500000</v>
      </c>
      <c r="O12">
        <v>600000</v>
      </c>
    </row>
    <row r="13" spans="3:15" x14ac:dyDescent="0.3">
      <c r="E13">
        <v>1200</v>
      </c>
      <c r="F13">
        <v>120000</v>
      </c>
      <c r="I13">
        <v>1100</v>
      </c>
      <c r="J13">
        <v>110000</v>
      </c>
      <c r="K13">
        <v>220000</v>
      </c>
      <c r="L13">
        <v>330000</v>
      </c>
      <c r="M13">
        <v>440000</v>
      </c>
      <c r="N13">
        <v>550000</v>
      </c>
      <c r="O13">
        <v>660000</v>
      </c>
    </row>
    <row r="14" spans="3:15" x14ac:dyDescent="0.3">
      <c r="E14">
        <v>1300</v>
      </c>
      <c r="F14">
        <v>130000</v>
      </c>
      <c r="I14">
        <v>1200</v>
      </c>
      <c r="J14">
        <v>120000</v>
      </c>
      <c r="K14">
        <v>240000</v>
      </c>
      <c r="L14">
        <v>360000</v>
      </c>
      <c r="M14">
        <v>480000</v>
      </c>
      <c r="N14">
        <v>600000</v>
      </c>
      <c r="O14">
        <v>720000</v>
      </c>
    </row>
    <row r="15" spans="3:15" x14ac:dyDescent="0.3">
      <c r="E15">
        <v>1400</v>
      </c>
      <c r="F15">
        <v>140000</v>
      </c>
      <c r="I15">
        <v>1300</v>
      </c>
      <c r="J15">
        <v>130000</v>
      </c>
      <c r="K15">
        <v>260000</v>
      </c>
      <c r="L15">
        <v>390000</v>
      </c>
      <c r="M15">
        <v>520000</v>
      </c>
      <c r="N15">
        <v>650000</v>
      </c>
      <c r="O15">
        <v>780000</v>
      </c>
    </row>
    <row r="16" spans="3:15" x14ac:dyDescent="0.3">
      <c r="E16">
        <v>1500</v>
      </c>
      <c r="F16">
        <v>150000</v>
      </c>
      <c r="I16">
        <v>1400</v>
      </c>
      <c r="J16">
        <v>140000</v>
      </c>
      <c r="K16">
        <v>280000</v>
      </c>
      <c r="L16">
        <v>420000</v>
      </c>
      <c r="M16">
        <v>560000</v>
      </c>
      <c r="N16">
        <v>700000</v>
      </c>
      <c r="O16">
        <v>840000</v>
      </c>
    </row>
    <row r="17" spans="9:15" x14ac:dyDescent="0.3">
      <c r="I17">
        <v>1500</v>
      </c>
      <c r="J17">
        <v>150000</v>
      </c>
      <c r="K17">
        <v>300000</v>
      </c>
      <c r="L17">
        <v>450000</v>
      </c>
      <c r="M17">
        <v>600000</v>
      </c>
      <c r="N17">
        <v>750000</v>
      </c>
      <c r="O17">
        <v>900000</v>
      </c>
    </row>
    <row r="18" spans="9:15" x14ac:dyDescent="0.3">
      <c r="I18">
        <v>1600</v>
      </c>
      <c r="J18">
        <v>160000</v>
      </c>
      <c r="K18">
        <v>320000</v>
      </c>
      <c r="L18">
        <v>480000</v>
      </c>
      <c r="M18">
        <v>640000</v>
      </c>
      <c r="N18">
        <v>800000</v>
      </c>
      <c r="O18">
        <v>960000</v>
      </c>
    </row>
    <row r="19" spans="9:15" x14ac:dyDescent="0.3">
      <c r="I19">
        <v>1700</v>
      </c>
      <c r="J19">
        <v>170000</v>
      </c>
      <c r="K19">
        <v>340000</v>
      </c>
      <c r="L19">
        <v>510000</v>
      </c>
      <c r="M19">
        <v>680000</v>
      </c>
      <c r="N19">
        <v>850000</v>
      </c>
      <c r="O19">
        <v>1020000</v>
      </c>
    </row>
    <row r="20" spans="9:15" x14ac:dyDescent="0.3">
      <c r="I20">
        <v>1800</v>
      </c>
      <c r="J20">
        <v>180000</v>
      </c>
      <c r="K20">
        <v>360000</v>
      </c>
      <c r="L20">
        <v>540000</v>
      </c>
      <c r="M20">
        <v>720000</v>
      </c>
      <c r="N20">
        <v>900000</v>
      </c>
      <c r="O20">
        <v>1080000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60" zoomScaleNormal="160" workbookViewId="0">
      <selection activeCell="H13" sqref="H13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20" t="s">
        <v>50</v>
      </c>
      <c r="B1" s="20">
        <v>1666.6666666666667</v>
      </c>
    </row>
    <row r="2" spans="1:6" x14ac:dyDescent="0.3">
      <c r="A2" s="20" t="s">
        <v>51</v>
      </c>
      <c r="B2" s="20">
        <v>60</v>
      </c>
    </row>
    <row r="3" spans="1:6" x14ac:dyDescent="0.3">
      <c r="A3" s="20" t="s">
        <v>3</v>
      </c>
      <c r="B3" s="20">
        <v>1</v>
      </c>
    </row>
    <row r="4" spans="1:6" x14ac:dyDescent="0.3">
      <c r="A4" s="20"/>
      <c r="B4" s="20"/>
    </row>
    <row r="5" spans="1:6" x14ac:dyDescent="0.3">
      <c r="A5" s="20" t="s">
        <v>52</v>
      </c>
      <c r="B5" s="20">
        <f>B1*B2*B3</f>
        <v>100000</v>
      </c>
    </row>
    <row r="7" spans="1:6" x14ac:dyDescent="0.3">
      <c r="E7" s="20" t="s">
        <v>50</v>
      </c>
      <c r="F7" s="27">
        <v>500</v>
      </c>
    </row>
    <row r="8" spans="1:6" x14ac:dyDescent="0.3">
      <c r="E8" s="20" t="s">
        <v>51</v>
      </c>
      <c r="F8" s="26">
        <v>60</v>
      </c>
    </row>
    <row r="9" spans="1:6" x14ac:dyDescent="0.3">
      <c r="E9" s="20" t="s">
        <v>53</v>
      </c>
      <c r="F9" s="26">
        <v>10</v>
      </c>
    </row>
    <row r="10" spans="1:6" x14ac:dyDescent="0.3">
      <c r="E10" s="20" t="s">
        <v>3</v>
      </c>
      <c r="F10" s="26">
        <v>1</v>
      </c>
    </row>
    <row r="11" spans="1:6" x14ac:dyDescent="0.3">
      <c r="E11" s="20"/>
      <c r="F11" s="20"/>
    </row>
    <row r="12" spans="1:6" x14ac:dyDescent="0.3">
      <c r="E12" s="20" t="s">
        <v>56</v>
      </c>
      <c r="F12" s="26">
        <f>F7*F8*F10</f>
        <v>30000</v>
      </c>
    </row>
    <row r="13" spans="1:6" x14ac:dyDescent="0.3">
      <c r="E13" s="28" t="s">
        <v>55</v>
      </c>
      <c r="F13" s="26">
        <f>F12-(F7*F9)</f>
        <v>25000</v>
      </c>
    </row>
    <row r="14" spans="1:6" x14ac:dyDescent="0.3">
      <c r="E14" s="28" t="s">
        <v>54</v>
      </c>
      <c r="F14" s="26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B51D-E93B-4AE2-BEC4-AE1361269F13}">
  <sheetPr>
    <outlinePr summaryBelow="0"/>
  </sheetPr>
  <dimension ref="B1:G13"/>
  <sheetViews>
    <sheetView showGridLines="0" zoomScale="130" zoomScaleNormal="130" workbookViewId="0">
      <selection activeCell="B2" sqref="B2:G10"/>
    </sheetView>
  </sheetViews>
  <sheetFormatPr defaultRowHeight="14.4" outlineLevelRow="1" outlineLevelCol="1" x14ac:dyDescent="0.3"/>
  <cols>
    <col min="3" max="3" width="9.88671875" bestFit="1" customWidth="1"/>
    <col min="4" max="7" width="17.33203125" bestFit="1" customWidth="1" outlineLevel="1"/>
  </cols>
  <sheetData>
    <row r="1" spans="2:7" ht="15" thickBot="1" x14ac:dyDescent="0.35"/>
    <row r="2" spans="2:7" ht="15.6" x14ac:dyDescent="0.3">
      <c r="B2" s="45" t="s">
        <v>70</v>
      </c>
      <c r="C2" s="45"/>
      <c r="D2" s="50"/>
      <c r="E2" s="50"/>
      <c r="F2" s="50"/>
      <c r="G2" s="50"/>
    </row>
    <row r="3" spans="2:7" ht="15.6" collapsed="1" x14ac:dyDescent="0.3">
      <c r="B3" s="44"/>
      <c r="C3" s="44"/>
      <c r="D3" s="51" t="s">
        <v>72</v>
      </c>
      <c r="E3" s="51" t="s">
        <v>66</v>
      </c>
      <c r="F3" s="51" t="s">
        <v>68</v>
      </c>
      <c r="G3" s="51" t="s">
        <v>69</v>
      </c>
    </row>
    <row r="4" spans="2:7" ht="20.399999999999999" hidden="1" outlineLevel="1" x14ac:dyDescent="0.3">
      <c r="B4" s="47"/>
      <c r="C4" s="47"/>
      <c r="D4" s="42"/>
      <c r="E4" s="53" t="s">
        <v>67</v>
      </c>
      <c r="F4" s="53" t="s">
        <v>67</v>
      </c>
      <c r="G4" s="53" t="s">
        <v>67</v>
      </c>
    </row>
    <row r="5" spans="2:7" x14ac:dyDescent="0.3">
      <c r="B5" s="48" t="s">
        <v>71</v>
      </c>
      <c r="C5" s="48"/>
      <c r="D5" s="46"/>
      <c r="E5" s="46"/>
      <c r="F5" s="46"/>
      <c r="G5" s="46"/>
    </row>
    <row r="6" spans="2:7" outlineLevel="1" x14ac:dyDescent="0.3">
      <c r="B6" s="47"/>
      <c r="C6" s="47" t="s">
        <v>63</v>
      </c>
      <c r="D6" s="42">
        <v>600</v>
      </c>
      <c r="E6" s="52">
        <v>300</v>
      </c>
      <c r="F6" s="52">
        <v>700</v>
      </c>
      <c r="G6" s="52">
        <v>1200</v>
      </c>
    </row>
    <row r="7" spans="2:7" outlineLevel="1" x14ac:dyDescent="0.3">
      <c r="B7" s="47"/>
      <c r="C7" s="47" t="s">
        <v>64</v>
      </c>
      <c r="D7" s="42">
        <v>500</v>
      </c>
      <c r="E7" s="52">
        <v>400</v>
      </c>
      <c r="F7" s="52">
        <v>600</v>
      </c>
      <c r="G7" s="52">
        <v>1500</v>
      </c>
    </row>
    <row r="8" spans="2:7" outlineLevel="1" x14ac:dyDescent="0.3">
      <c r="B8" s="47"/>
      <c r="C8" s="47" t="s">
        <v>65</v>
      </c>
      <c r="D8" s="42">
        <v>800</v>
      </c>
      <c r="E8" s="52">
        <v>500</v>
      </c>
      <c r="F8" s="52">
        <v>1000</v>
      </c>
      <c r="G8" s="52">
        <v>1800</v>
      </c>
    </row>
    <row r="9" spans="2:7" x14ac:dyDescent="0.3">
      <c r="B9" s="48" t="s">
        <v>73</v>
      </c>
      <c r="C9" s="48"/>
      <c r="D9" s="46"/>
      <c r="E9" s="46"/>
      <c r="F9" s="46"/>
      <c r="G9" s="46"/>
    </row>
    <row r="10" spans="2:7" ht="15" outlineLevel="1" thickBot="1" x14ac:dyDescent="0.35">
      <c r="B10" s="49"/>
      <c r="C10" s="49" t="s">
        <v>77</v>
      </c>
      <c r="D10" s="43">
        <v>1900</v>
      </c>
      <c r="E10" s="43">
        <v>1200</v>
      </c>
      <c r="F10" s="43">
        <v>2300</v>
      </c>
      <c r="G10" s="43">
        <v>4500</v>
      </c>
    </row>
    <row r="11" spans="2:7" x14ac:dyDescent="0.3">
      <c r="B11" t="s">
        <v>74</v>
      </c>
    </row>
    <row r="12" spans="2:7" x14ac:dyDescent="0.3">
      <c r="B12" t="s">
        <v>75</v>
      </c>
    </row>
    <row r="13" spans="2:7" x14ac:dyDescent="0.3">
      <c r="B1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5292-1E6F-4B15-91E0-E79584D64B5C}">
  <dimension ref="A1:B6"/>
  <sheetViews>
    <sheetView zoomScale="130" zoomScaleNormal="130" workbookViewId="0">
      <selection activeCell="C12" sqref="C12"/>
    </sheetView>
  </sheetViews>
  <sheetFormatPr defaultRowHeight="14.4" x14ac:dyDescent="0.3"/>
  <cols>
    <col min="1" max="1" width="18.109375" bestFit="1" customWidth="1"/>
    <col min="2" max="2" width="9.88671875" bestFit="1" customWidth="1"/>
  </cols>
  <sheetData>
    <row r="1" spans="1:2" x14ac:dyDescent="0.3">
      <c r="A1" s="14" t="s">
        <v>78</v>
      </c>
      <c r="B1" t="s">
        <v>79</v>
      </c>
    </row>
    <row r="3" spans="1:2" x14ac:dyDescent="0.3">
      <c r="A3" s="14" t="s">
        <v>47</v>
      </c>
      <c r="B3" t="s">
        <v>77</v>
      </c>
    </row>
    <row r="4" spans="1:2" x14ac:dyDescent="0.3">
      <c r="A4" s="15" t="s">
        <v>66</v>
      </c>
      <c r="B4" s="16">
        <v>1200</v>
      </c>
    </row>
    <row r="5" spans="1:2" x14ac:dyDescent="0.3">
      <c r="A5" s="15" t="s">
        <v>68</v>
      </c>
      <c r="B5" s="16">
        <v>2300</v>
      </c>
    </row>
    <row r="6" spans="1:2" x14ac:dyDescent="0.3">
      <c r="A6" s="15" t="s">
        <v>69</v>
      </c>
      <c r="B6" s="16">
        <v>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824-82C0-49F6-9FED-35C62F8EBEE6}">
  <dimension ref="A3:F14"/>
  <sheetViews>
    <sheetView tabSelected="1" zoomScale="115" zoomScaleNormal="115" workbookViewId="0">
      <selection activeCell="G17" sqref="G17"/>
    </sheetView>
  </sheetViews>
  <sheetFormatPr defaultRowHeight="14.4" x14ac:dyDescent="0.3"/>
  <cols>
    <col min="1" max="1" width="12.5546875" bestFit="1" customWidth="1"/>
    <col min="2" max="2" width="15.33203125" bestFit="1" customWidth="1"/>
    <col min="5" max="5" width="12.21875" bestFit="1" customWidth="1"/>
  </cols>
  <sheetData>
    <row r="3" spans="1:6" x14ac:dyDescent="0.3">
      <c r="A3" s="14" t="s">
        <v>47</v>
      </c>
      <c r="B3" t="s">
        <v>49</v>
      </c>
    </row>
    <row r="4" spans="1:6" x14ac:dyDescent="0.3">
      <c r="A4" s="15" t="s">
        <v>60</v>
      </c>
      <c r="B4" s="16">
        <v>336840</v>
      </c>
    </row>
    <row r="5" spans="1:6" x14ac:dyDescent="0.3">
      <c r="A5" s="15" t="s">
        <v>61</v>
      </c>
      <c r="B5" s="16">
        <v>266900</v>
      </c>
    </row>
    <row r="6" spans="1:6" x14ac:dyDescent="0.3">
      <c r="A6" s="15" t="s">
        <v>62</v>
      </c>
      <c r="B6" s="16">
        <v>279133</v>
      </c>
    </row>
    <row r="7" spans="1:6" x14ac:dyDescent="0.3">
      <c r="A7" s="15" t="s">
        <v>48</v>
      </c>
      <c r="B7" s="16">
        <v>882873</v>
      </c>
    </row>
    <row r="10" spans="1:6" x14ac:dyDescent="0.3">
      <c r="E10" t="s">
        <v>63</v>
      </c>
      <c r="F10">
        <v>300</v>
      </c>
    </row>
    <row r="11" spans="1:6" x14ac:dyDescent="0.3">
      <c r="E11" t="s">
        <v>64</v>
      </c>
      <c r="F11">
        <v>400</v>
      </c>
    </row>
    <row r="12" spans="1:6" x14ac:dyDescent="0.3">
      <c r="E12" t="s">
        <v>65</v>
      </c>
      <c r="F12">
        <v>500</v>
      </c>
    </row>
    <row r="14" spans="1:6" x14ac:dyDescent="0.3">
      <c r="E14" t="s">
        <v>56</v>
      </c>
      <c r="F14">
        <f>SUM(F10:F12)</f>
        <v>1200</v>
      </c>
    </row>
  </sheetData>
  <scenarios current="2" show="0" sqref="F14">
    <scenario name="Low-Level_shop" locked="1" count="3" user="pc" comment="Created by pc on 28-01-2026">
      <inputCells r="F10" val="300"/>
      <inputCells r="F11" val="400"/>
      <inputCells r="F12" val="500"/>
    </scenario>
    <scenario name="Medium_Level_Shop" locked="1" count="3" user="pc" comment="Created by pc on 28-01-2026">
      <inputCells r="F10" val="700"/>
      <inputCells r="F11" val="600"/>
      <inputCells r="F12" val="1000"/>
    </scenario>
    <scenario name="High_Level_Shop" locked="1" count="3" user="pc" comment="Created by pc on 28-01-2026">
      <inputCells r="F10" val="1200"/>
      <inputCells r="F11" val="1500"/>
      <inputCells r="F12" val="1800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G18" sqref="A2:I24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23" t="s">
        <v>11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4" t="s">
        <v>17</v>
      </c>
      <c r="H1" s="23" t="s">
        <v>18</v>
      </c>
      <c r="I1" s="25" t="s">
        <v>19</v>
      </c>
    </row>
    <row r="2" spans="1:9" x14ac:dyDescent="0.3">
      <c r="A2" s="21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21">
        <v>43157</v>
      </c>
      <c r="B3" s="7" t="s">
        <v>20</v>
      </c>
      <c r="C3" s="7" t="s">
        <v>21</v>
      </c>
      <c r="D3" s="7" t="s">
        <v>22</v>
      </c>
      <c r="E3" s="7" t="s">
        <v>23</v>
      </c>
      <c r="F3" s="7">
        <v>27</v>
      </c>
      <c r="G3" s="7">
        <v>225</v>
      </c>
      <c r="H3" s="7">
        <v>6075</v>
      </c>
      <c r="I3" s="8" t="s">
        <v>24</v>
      </c>
    </row>
    <row r="4" spans="1:9" x14ac:dyDescent="0.3">
      <c r="A4" s="21">
        <v>43344</v>
      </c>
      <c r="B4" s="7" t="s">
        <v>20</v>
      </c>
      <c r="C4" s="7" t="s">
        <v>31</v>
      </c>
      <c r="D4" s="7" t="s">
        <v>38</v>
      </c>
      <c r="E4" s="7" t="s">
        <v>37</v>
      </c>
      <c r="F4" s="7">
        <v>2</v>
      </c>
      <c r="G4" s="7">
        <v>125</v>
      </c>
      <c r="H4" s="7">
        <v>250</v>
      </c>
      <c r="I4" s="8" t="s">
        <v>24</v>
      </c>
    </row>
    <row r="5" spans="1:9" x14ac:dyDescent="0.3">
      <c r="A5" s="21">
        <v>43123</v>
      </c>
      <c r="B5" s="7" t="s">
        <v>20</v>
      </c>
      <c r="C5" s="7" t="s">
        <v>35</v>
      </c>
      <c r="D5" s="7" t="s">
        <v>36</v>
      </c>
      <c r="E5" s="7" t="s">
        <v>39</v>
      </c>
      <c r="F5" s="7">
        <v>50</v>
      </c>
      <c r="G5" s="7">
        <v>500</v>
      </c>
      <c r="H5" s="7">
        <v>25000</v>
      </c>
      <c r="I5" s="8" t="s">
        <v>30</v>
      </c>
    </row>
    <row r="6" spans="1:9" x14ac:dyDescent="0.3">
      <c r="A6" s="21">
        <v>43429</v>
      </c>
      <c r="B6" s="7" t="s">
        <v>20</v>
      </c>
      <c r="C6" s="7" t="s">
        <v>35</v>
      </c>
      <c r="D6" s="7" t="s">
        <v>36</v>
      </c>
      <c r="E6" s="7" t="s">
        <v>46</v>
      </c>
      <c r="F6" s="7">
        <v>96</v>
      </c>
      <c r="G6" s="7">
        <v>58.5</v>
      </c>
      <c r="H6" s="7">
        <v>5616</v>
      </c>
      <c r="I6" s="8" t="s">
        <v>24</v>
      </c>
    </row>
    <row r="7" spans="1:9" x14ac:dyDescent="0.3">
      <c r="A7" s="21">
        <v>43140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36</v>
      </c>
      <c r="G7" s="7">
        <v>1198</v>
      </c>
      <c r="H7" s="7">
        <v>43128</v>
      </c>
      <c r="I7" s="8" t="s">
        <v>33</v>
      </c>
    </row>
    <row r="8" spans="1:9" x14ac:dyDescent="0.3">
      <c r="A8" s="22">
        <v>43174</v>
      </c>
      <c r="B8" s="9" t="s">
        <v>25</v>
      </c>
      <c r="C8" s="9" t="s">
        <v>21</v>
      </c>
      <c r="D8" s="9" t="s">
        <v>26</v>
      </c>
      <c r="E8" s="9" t="s">
        <v>45</v>
      </c>
      <c r="F8" s="9">
        <v>56</v>
      </c>
      <c r="G8" s="9">
        <v>1198</v>
      </c>
      <c r="H8" s="9">
        <v>67088</v>
      </c>
      <c r="I8" s="9" t="s">
        <v>43</v>
      </c>
    </row>
    <row r="9" spans="1:9" x14ac:dyDescent="0.3">
      <c r="A9" s="21">
        <v>43208</v>
      </c>
      <c r="B9" s="7" t="s">
        <v>20</v>
      </c>
      <c r="C9" s="7" t="s">
        <v>28</v>
      </c>
      <c r="D9" s="7" t="s">
        <v>42</v>
      </c>
      <c r="E9" s="7" t="s">
        <v>45</v>
      </c>
      <c r="F9" s="7">
        <v>75</v>
      </c>
      <c r="G9" s="7">
        <v>1198</v>
      </c>
      <c r="H9" s="7">
        <v>89850</v>
      </c>
      <c r="I9" s="7" t="s">
        <v>33</v>
      </c>
    </row>
    <row r="10" spans="1:9" x14ac:dyDescent="0.3">
      <c r="A10" s="21">
        <v>43225</v>
      </c>
      <c r="B10" s="7" t="s">
        <v>20</v>
      </c>
      <c r="C10" s="7" t="s">
        <v>35</v>
      </c>
      <c r="D10" s="7" t="s">
        <v>41</v>
      </c>
      <c r="E10" s="7" t="s">
        <v>45</v>
      </c>
      <c r="F10" s="7">
        <v>90</v>
      </c>
      <c r="G10" s="7">
        <v>1198</v>
      </c>
      <c r="H10" s="7">
        <v>107820</v>
      </c>
      <c r="I10" s="7" t="s">
        <v>43</v>
      </c>
    </row>
    <row r="11" spans="1:9" x14ac:dyDescent="0.3">
      <c r="A11" s="22">
        <v>43701</v>
      </c>
      <c r="B11" s="9" t="s">
        <v>25</v>
      </c>
      <c r="C11" s="9" t="s">
        <v>21</v>
      </c>
      <c r="D11" s="9" t="s">
        <v>26</v>
      </c>
      <c r="E11" s="9" t="s">
        <v>37</v>
      </c>
      <c r="F11" s="9">
        <v>3</v>
      </c>
      <c r="G11" s="9">
        <v>125</v>
      </c>
      <c r="H11" s="9">
        <v>375</v>
      </c>
      <c r="I11" s="9" t="s">
        <v>30</v>
      </c>
    </row>
    <row r="12" spans="1:9" x14ac:dyDescent="0.3">
      <c r="A12" s="22">
        <v>43378</v>
      </c>
      <c r="B12" s="9" t="s">
        <v>20</v>
      </c>
      <c r="C12" s="9" t="s">
        <v>35</v>
      </c>
      <c r="D12" s="9" t="s">
        <v>40</v>
      </c>
      <c r="E12" s="9" t="s">
        <v>39</v>
      </c>
      <c r="F12" s="9">
        <v>28</v>
      </c>
      <c r="G12" s="9">
        <v>500</v>
      </c>
      <c r="H12" s="9">
        <v>14000</v>
      </c>
      <c r="I12" s="9" t="s">
        <v>30</v>
      </c>
    </row>
    <row r="13" spans="1:9" x14ac:dyDescent="0.3">
      <c r="A13" s="21">
        <v>43616</v>
      </c>
      <c r="B13" s="7" t="s">
        <v>20</v>
      </c>
      <c r="C13" s="7" t="s">
        <v>21</v>
      </c>
      <c r="D13" s="7" t="s">
        <v>22</v>
      </c>
      <c r="E13" s="7" t="s">
        <v>39</v>
      </c>
      <c r="F13" s="7">
        <v>80</v>
      </c>
      <c r="G13" s="7">
        <v>500</v>
      </c>
      <c r="H13" s="7">
        <v>40000</v>
      </c>
      <c r="I13" s="7" t="s">
        <v>30</v>
      </c>
    </row>
    <row r="14" spans="1:9" x14ac:dyDescent="0.3">
      <c r="A14" s="22">
        <v>43803</v>
      </c>
      <c r="B14" s="9" t="s">
        <v>20</v>
      </c>
      <c r="C14" s="9" t="s">
        <v>35</v>
      </c>
      <c r="D14" s="9" t="s">
        <v>41</v>
      </c>
      <c r="E14" s="9" t="s">
        <v>39</v>
      </c>
      <c r="F14" s="9">
        <v>94</v>
      </c>
      <c r="G14" s="9">
        <v>500</v>
      </c>
      <c r="H14" s="9">
        <v>47000</v>
      </c>
      <c r="I14" s="10" t="s">
        <v>30</v>
      </c>
    </row>
    <row r="15" spans="1:9" x14ac:dyDescent="0.3">
      <c r="A15" s="21">
        <v>43242</v>
      </c>
      <c r="B15" s="7" t="s">
        <v>25</v>
      </c>
      <c r="C15" s="7" t="s">
        <v>31</v>
      </c>
      <c r="D15" s="7" t="s">
        <v>44</v>
      </c>
      <c r="E15" s="7" t="s">
        <v>45</v>
      </c>
      <c r="F15" s="7">
        <v>32</v>
      </c>
      <c r="G15" s="7">
        <v>1198</v>
      </c>
      <c r="H15" s="7">
        <v>38336</v>
      </c>
      <c r="I15" s="8" t="s">
        <v>30</v>
      </c>
    </row>
    <row r="16" spans="1:9" x14ac:dyDescent="0.3">
      <c r="A16" s="22">
        <v>43276</v>
      </c>
      <c r="B16" s="9" t="s">
        <v>20</v>
      </c>
      <c r="C16" s="9" t="s">
        <v>35</v>
      </c>
      <c r="D16" s="9" t="s">
        <v>40</v>
      </c>
      <c r="E16" s="9" t="s">
        <v>45</v>
      </c>
      <c r="F16" s="9">
        <v>90</v>
      </c>
      <c r="G16" s="9">
        <v>1198</v>
      </c>
      <c r="H16" s="9">
        <v>107820</v>
      </c>
      <c r="I16" s="10" t="s">
        <v>30</v>
      </c>
    </row>
    <row r="17" spans="1:9" x14ac:dyDescent="0.3">
      <c r="A17" s="21">
        <v>43327</v>
      </c>
      <c r="B17" s="7" t="s">
        <v>27</v>
      </c>
      <c r="C17" s="7" t="s">
        <v>28</v>
      </c>
      <c r="D17" s="7" t="s">
        <v>34</v>
      </c>
      <c r="E17" s="7" t="s">
        <v>45</v>
      </c>
      <c r="F17" s="7">
        <v>35</v>
      </c>
      <c r="G17" s="7">
        <v>1198</v>
      </c>
      <c r="H17" s="7">
        <v>41930</v>
      </c>
      <c r="I17" s="7" t="s">
        <v>33</v>
      </c>
    </row>
    <row r="18" spans="1:9" x14ac:dyDescent="0.3">
      <c r="A18" s="21">
        <v>43395</v>
      </c>
      <c r="B18" s="7" t="s">
        <v>27</v>
      </c>
      <c r="C18" s="7" t="s">
        <v>28</v>
      </c>
      <c r="D18" s="7" t="s">
        <v>34</v>
      </c>
      <c r="E18" s="7" t="s">
        <v>23</v>
      </c>
      <c r="F18" s="7">
        <v>64</v>
      </c>
      <c r="G18" s="7">
        <v>225</v>
      </c>
      <c r="H18" s="7">
        <v>14400</v>
      </c>
      <c r="I18" s="8" t="s">
        <v>24</v>
      </c>
    </row>
    <row r="19" spans="1:9" x14ac:dyDescent="0.3">
      <c r="A19" s="22">
        <v>43412</v>
      </c>
      <c r="B19" s="9" t="s">
        <v>27</v>
      </c>
      <c r="C19" s="9" t="s">
        <v>31</v>
      </c>
      <c r="D19" s="9" t="s">
        <v>32</v>
      </c>
      <c r="E19" s="9" t="s">
        <v>23</v>
      </c>
      <c r="F19" s="9">
        <v>15</v>
      </c>
      <c r="G19" s="9">
        <v>225</v>
      </c>
      <c r="H19" s="9">
        <v>3375</v>
      </c>
      <c r="I19" s="10" t="s">
        <v>33</v>
      </c>
    </row>
    <row r="20" spans="1:9" x14ac:dyDescent="0.3">
      <c r="A20" s="21">
        <v>43191</v>
      </c>
      <c r="B20" s="7" t="s">
        <v>27</v>
      </c>
      <c r="C20" s="7" t="s">
        <v>28</v>
      </c>
      <c r="D20" s="7" t="s">
        <v>34</v>
      </c>
      <c r="E20" s="7" t="s">
        <v>39</v>
      </c>
      <c r="F20" s="7">
        <v>60</v>
      </c>
      <c r="G20" s="7">
        <v>500</v>
      </c>
      <c r="H20" s="7">
        <v>30000</v>
      </c>
      <c r="I20" s="7" t="s">
        <v>30</v>
      </c>
    </row>
    <row r="21" spans="1:9" x14ac:dyDescent="0.3">
      <c r="A21" s="22">
        <v>43514</v>
      </c>
      <c r="B21" s="9" t="s">
        <v>27</v>
      </c>
      <c r="C21" s="9" t="s">
        <v>28</v>
      </c>
      <c r="D21" s="9" t="s">
        <v>34</v>
      </c>
      <c r="E21" s="9" t="s">
        <v>39</v>
      </c>
      <c r="F21" s="9">
        <v>4</v>
      </c>
      <c r="G21" s="9">
        <v>500</v>
      </c>
      <c r="H21" s="9">
        <v>2000</v>
      </c>
      <c r="I21" s="9" t="s">
        <v>30</v>
      </c>
    </row>
    <row r="22" spans="1:9" x14ac:dyDescent="0.3">
      <c r="A22" s="21">
        <v>43293</v>
      </c>
      <c r="B22" s="7" t="s">
        <v>27</v>
      </c>
      <c r="C22" s="7" t="s">
        <v>28</v>
      </c>
      <c r="D22" s="7" t="s">
        <v>29</v>
      </c>
      <c r="E22" s="7" t="s">
        <v>39</v>
      </c>
      <c r="F22" s="7">
        <v>29</v>
      </c>
      <c r="G22" s="7">
        <v>500</v>
      </c>
      <c r="H22" s="7">
        <v>14500</v>
      </c>
      <c r="I22" s="7" t="s">
        <v>33</v>
      </c>
    </row>
    <row r="23" spans="1:9" x14ac:dyDescent="0.3">
      <c r="A23" s="22">
        <v>43310</v>
      </c>
      <c r="B23" s="9" t="s">
        <v>27</v>
      </c>
      <c r="C23" s="9" t="s">
        <v>31</v>
      </c>
      <c r="D23" s="9" t="s">
        <v>32</v>
      </c>
      <c r="E23" s="9" t="s">
        <v>39</v>
      </c>
      <c r="F23" s="9">
        <v>81</v>
      </c>
      <c r="G23" s="9">
        <v>500</v>
      </c>
      <c r="H23" s="9">
        <v>40500</v>
      </c>
      <c r="I23" s="9" t="s">
        <v>24</v>
      </c>
    </row>
    <row r="24" spans="1:9" x14ac:dyDescent="0.3">
      <c r="A24" s="11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sqref="A1:I12"/>
    </sheetView>
  </sheetViews>
  <sheetFormatPr defaultRowHeight="14.4" x14ac:dyDescent="0.3"/>
  <sheetData>
    <row r="1" spans="1:9" x14ac:dyDescent="0.3">
      <c r="A1" s="17" t="s">
        <v>11</v>
      </c>
      <c r="B1" s="18" t="s">
        <v>12</v>
      </c>
      <c r="C1" s="18" t="s">
        <v>13</v>
      </c>
      <c r="D1" s="18" t="s">
        <v>14</v>
      </c>
      <c r="E1" s="18" t="s">
        <v>15</v>
      </c>
      <c r="F1" s="18" t="s">
        <v>16</v>
      </c>
      <c r="G1" s="6" t="s">
        <v>17</v>
      </c>
      <c r="H1" s="18" t="s">
        <v>18</v>
      </c>
      <c r="I1" s="19" t="s">
        <v>19</v>
      </c>
    </row>
    <row r="2" spans="1:9" x14ac:dyDescent="0.3">
      <c r="A2" s="12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12">
        <v>43140</v>
      </c>
      <c r="B3" s="7" t="s">
        <v>20</v>
      </c>
      <c r="C3" s="7" t="s">
        <v>35</v>
      </c>
      <c r="D3" s="7" t="s">
        <v>41</v>
      </c>
      <c r="E3" s="7" t="s">
        <v>45</v>
      </c>
      <c r="F3" s="7">
        <v>36</v>
      </c>
      <c r="G3" s="7">
        <v>1198</v>
      </c>
      <c r="H3" s="7">
        <v>43128</v>
      </c>
      <c r="I3" s="8" t="s">
        <v>33</v>
      </c>
    </row>
    <row r="4" spans="1:9" x14ac:dyDescent="0.3">
      <c r="A4" s="12">
        <v>43157</v>
      </c>
      <c r="B4" s="7" t="s">
        <v>20</v>
      </c>
      <c r="C4" s="7" t="s">
        <v>21</v>
      </c>
      <c r="D4" s="7" t="s">
        <v>22</v>
      </c>
      <c r="E4" s="7" t="s">
        <v>23</v>
      </c>
      <c r="F4" s="7">
        <v>27</v>
      </c>
      <c r="G4" s="7">
        <v>225</v>
      </c>
      <c r="H4" s="7">
        <v>6075</v>
      </c>
      <c r="I4" s="8" t="s">
        <v>24</v>
      </c>
    </row>
    <row r="5" spans="1:9" x14ac:dyDescent="0.3">
      <c r="A5" s="13">
        <v>43174</v>
      </c>
      <c r="B5" s="9" t="s">
        <v>25</v>
      </c>
      <c r="C5" s="9" t="s">
        <v>21</v>
      </c>
      <c r="D5" s="9" t="s">
        <v>26</v>
      </c>
      <c r="E5" s="9" t="s">
        <v>45</v>
      </c>
      <c r="F5" s="9">
        <v>56</v>
      </c>
      <c r="G5" s="9">
        <v>1198</v>
      </c>
      <c r="H5" s="9">
        <v>67088</v>
      </c>
      <c r="I5" s="10" t="s">
        <v>43</v>
      </c>
    </row>
    <row r="6" spans="1:9" x14ac:dyDescent="0.3">
      <c r="A6" s="12">
        <v>43208</v>
      </c>
      <c r="B6" s="7" t="s">
        <v>20</v>
      </c>
      <c r="C6" s="7" t="s">
        <v>28</v>
      </c>
      <c r="D6" s="7" t="s">
        <v>42</v>
      </c>
      <c r="E6" s="7" t="s">
        <v>45</v>
      </c>
      <c r="F6" s="7">
        <v>75</v>
      </c>
      <c r="G6" s="7">
        <v>1198</v>
      </c>
      <c r="H6" s="7">
        <v>89850</v>
      </c>
      <c r="I6" s="8" t="s">
        <v>33</v>
      </c>
    </row>
    <row r="7" spans="1:9" x14ac:dyDescent="0.3">
      <c r="A7" s="12">
        <v>43225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90</v>
      </c>
      <c r="G7" s="7">
        <v>1198</v>
      </c>
      <c r="H7" s="7">
        <v>107820</v>
      </c>
      <c r="I7" s="8" t="s">
        <v>43</v>
      </c>
    </row>
    <row r="8" spans="1:9" x14ac:dyDescent="0.3">
      <c r="A8" s="12">
        <v>43344</v>
      </c>
      <c r="B8" s="7" t="s">
        <v>20</v>
      </c>
      <c r="C8" s="7" t="s">
        <v>31</v>
      </c>
      <c r="D8" s="7" t="s">
        <v>38</v>
      </c>
      <c r="E8" s="7" t="s">
        <v>37</v>
      </c>
      <c r="F8" s="7">
        <v>2</v>
      </c>
      <c r="G8" s="7">
        <v>125</v>
      </c>
      <c r="H8" s="7">
        <v>250</v>
      </c>
      <c r="I8" s="7" t="s">
        <v>24</v>
      </c>
    </row>
    <row r="9" spans="1:9" x14ac:dyDescent="0.3">
      <c r="A9" s="13">
        <v>43701</v>
      </c>
      <c r="B9" s="9" t="s">
        <v>25</v>
      </c>
      <c r="C9" s="9" t="s">
        <v>21</v>
      </c>
      <c r="D9" s="9" t="s">
        <v>26</v>
      </c>
      <c r="E9" s="9" t="s">
        <v>37</v>
      </c>
      <c r="F9" s="9">
        <v>3</v>
      </c>
      <c r="G9" s="9">
        <v>125</v>
      </c>
      <c r="H9" s="9">
        <v>375</v>
      </c>
      <c r="I9" s="9" t="s">
        <v>30</v>
      </c>
    </row>
    <row r="10" spans="1:9" x14ac:dyDescent="0.3">
      <c r="A10" s="12">
        <v>43123</v>
      </c>
      <c r="B10" s="7" t="s">
        <v>20</v>
      </c>
      <c r="C10" s="7" t="s">
        <v>35</v>
      </c>
      <c r="D10" s="7" t="s">
        <v>36</v>
      </c>
      <c r="E10" s="7" t="s">
        <v>39</v>
      </c>
      <c r="F10" s="7">
        <v>50</v>
      </c>
      <c r="G10" s="7">
        <v>500</v>
      </c>
      <c r="H10" s="7">
        <v>25000</v>
      </c>
      <c r="I10" s="7" t="s">
        <v>30</v>
      </c>
    </row>
    <row r="11" spans="1:9" x14ac:dyDescent="0.3">
      <c r="A11" s="13">
        <v>43378</v>
      </c>
      <c r="B11" s="9" t="s">
        <v>20</v>
      </c>
      <c r="C11" s="9" t="s">
        <v>35</v>
      </c>
      <c r="D11" s="9" t="s">
        <v>40</v>
      </c>
      <c r="E11" s="9" t="s">
        <v>39</v>
      </c>
      <c r="F11" s="9">
        <v>28</v>
      </c>
      <c r="G11" s="9">
        <v>500</v>
      </c>
      <c r="H11" s="9">
        <v>14000</v>
      </c>
      <c r="I11" s="9" t="s">
        <v>30</v>
      </c>
    </row>
    <row r="12" spans="1:9" x14ac:dyDescent="0.3">
      <c r="A12" s="12">
        <v>43616</v>
      </c>
      <c r="B12" s="7" t="s">
        <v>20</v>
      </c>
      <c r="C12" s="7" t="s">
        <v>21</v>
      </c>
      <c r="D12" s="7" t="s">
        <v>22</v>
      </c>
      <c r="E12" s="7" t="s">
        <v>39</v>
      </c>
      <c r="F12" s="7">
        <v>80</v>
      </c>
      <c r="G12" s="7">
        <v>500</v>
      </c>
      <c r="H12" s="7">
        <v>40000</v>
      </c>
      <c r="I12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Practice Date Formule</vt:lpstr>
      <vt:lpstr>Some Advance Maths</vt:lpstr>
      <vt:lpstr>Sheet4</vt:lpstr>
      <vt:lpstr>Sheet1</vt:lpstr>
      <vt:lpstr>Sheet2</vt:lpstr>
      <vt:lpstr>Scenario Summary 2</vt:lpstr>
      <vt:lpstr>Scenario PivotTable</vt:lpstr>
      <vt:lpstr>Sheet10</vt:lpstr>
      <vt:lpstr>Sheet5</vt:lpstr>
      <vt:lpstr>Sheet6</vt:lpstr>
      <vt:lpstr>Chair</vt:lpstr>
      <vt:lpstr>Fan</vt:lpstr>
      <vt:lpstr>Table</vt:lpstr>
      <vt:lpstr>Total_Cost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2026-01-28T05:49:01Z</dcterms:modified>
</cp:coreProperties>
</file>