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5FF4B870-78F4-4681-BE8B-65AC9A0785F3}" xr6:coauthVersionLast="36" xr6:coauthVersionMax="36" xr10:uidLastSave="{00000000-0000-0000-0000-000000000000}"/>
  <bookViews>
    <workbookView xWindow="0" yWindow="0" windowWidth="22260" windowHeight="12648" firstSheet="1" activeTab="7" xr2:uid="{00000000-000D-0000-FFFF-FFFF00000000}"/>
  </bookViews>
  <sheets>
    <sheet name="Practice Date Formule" sheetId="1" r:id="rId1"/>
    <sheet name="Sheet3" sheetId="5" r:id="rId2"/>
    <sheet name="Some Advance Maths" sheetId="2" r:id="rId3"/>
    <sheet name="Sheet4" sheetId="6" r:id="rId4"/>
    <sheet name="Sheet5" sheetId="7" r:id="rId5"/>
    <sheet name="Sheet6" sheetId="8" r:id="rId6"/>
    <sheet name="Scenario Summary" sheetId="10" r:id="rId7"/>
    <sheet name="Scenario Summary 2" sheetId="11" r:id="rId8"/>
    <sheet name="Sheet7" sheetId="9" r:id="rId9"/>
  </sheets>
  <definedNames>
    <definedName name="ProductUnit">Sheet7!$G$7</definedName>
    <definedName name="Total_Income">Sheet7!$G$12</definedName>
    <definedName name="Total_Profit">Sheet7!$G$13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9" l="1"/>
  <c r="G12" i="9"/>
  <c r="I22" i="6"/>
  <c r="I7" i="6" l="1"/>
  <c r="F4" i="6"/>
  <c r="C8" i="6"/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<sst xmlns="http://schemas.openxmlformats.org/spreadsheetml/2006/main" count="510" uniqueCount="76">
  <si>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</si>
  <si>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</si>
  <si>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</si>
  <si>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</si>
  <si>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</si>
  <si>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</si>
  <si>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</si>
  <si>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</si>
  <si>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</si>
  <si>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</si>
  <si>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</si>
  <si>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</si>
  <si>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</si>
  <si>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</si>
  <si>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</si>
  <si>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</si>
  <si>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</si>
  <si>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</si>
  <si>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</si>
  <si>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</si>
  <si>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</si>
  <si>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</si>
  <si>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</si>
  <si>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</si>
  <si>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</si>
  <si>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</si>
  <si>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</si>
  <si>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</si>
  <si>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</si>
  <si>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</si>
  <si>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</si>
  <si>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</si>
  <si>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</si>
  <si>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</si>
  <si>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</si>
  <si>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</si>
  <si>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</si>
  <si>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</si>
  <si>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</si>
  <si>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</si>
  <si>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</si>
  <si>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</si>
  <si>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</si>
  <si>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</si>
  <si>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</si>
  <si>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</si>
  <si>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</si>
  <si>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</si>
  <si>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</si>
  <si>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</si>
  <si>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Max of Units</t>
  </si>
  <si>
    <t>Sales Unit</t>
  </si>
  <si>
    <t>Unit Price</t>
  </si>
  <si>
    <t>Amount</t>
  </si>
  <si>
    <t>Product</t>
  </si>
  <si>
    <t>Per Unit Sales Price</t>
  </si>
  <si>
    <t>Profit Per Unit</t>
  </si>
  <si>
    <t>Total Sales</t>
  </si>
  <si>
    <t>Profit</t>
  </si>
  <si>
    <t>$G$7</t>
  </si>
  <si>
    <t>$G$12</t>
  </si>
  <si>
    <t>$G$13</t>
  </si>
  <si>
    <t>700 Sales</t>
  </si>
  <si>
    <t>Created by pc on 27-01-2026</t>
  </si>
  <si>
    <t>900 Sales</t>
  </si>
  <si>
    <t>1200 Sales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</si>
  <si>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</si>
  <si>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</si>
  <si>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</si>
  <si>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</si>
  <si>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</si>
  <si>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</si>
  <si>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</si>
  <si>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ProductUnit</t>
  </si>
  <si>
    <t>Total_Income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</si>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</sst>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10" fontId="0" fillId="0" borderId="0" xfId="0" pivotButton="1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Fill="1" applyBorder="1" applyAlignment="1"/>
    <xf numFmtId="0" fontId="0" fillId="0" borderId="6" xfId="0" applyFill="1" applyBorder="1" applyAlignment="1"/>
    <xf numFmtId="0" fontId="5" fillId="7" borderId="7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0" fillId="0" borderId="8" xfId="0" applyFill="1" applyBorder="1" applyAlignment="1"/>
    <xf numFmtId="0" fontId="6" fillId="8" borderId="0" xfId="0" applyFont="1" applyFill="1" applyBorder="1" applyAlignment="1">
      <alignment horizontal="left"/>
    </xf>
    <xf numFmtId="0" fontId="7" fillId="8" borderId="8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right"/>
    </xf>
    <xf numFmtId="0" fontId="8" fillId="7" borderId="7" xfId="0" applyFont="1" applyFill="1" applyBorder="1" applyAlignment="1">
      <alignment horizontal="right"/>
    </xf>
    <xf numFmtId="0" fontId="0" fillId="9" borderId="0" xfId="0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426864004628" createdVersion="6" refreshedVersion="6" minRefreshableVersion="3" recordCount="43" xr:uid="{DB653F5C-2A71-4A95-9329-485E4E9921FE}">
  <cacheSource type="worksheet">
    <worksheetSource name="Table3"/>
  </cacheSource>
  <cacheFields count="10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Total sales" numFmtId="0" formula="Item*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s v="East"/>
    <x v="0"/>
    <s v="Alexander"/>
    <s v="Television"/>
    <n v="95"/>
    <n v="1198"/>
    <n v="113810"/>
    <s v="UPI"/>
  </r>
  <r>
    <d v="2018-02-09T00:00:00"/>
    <s v="Central"/>
    <x v="1"/>
    <s v="Luis"/>
    <s v="Television"/>
    <n v="36"/>
    <n v="1198"/>
    <n v="43128"/>
    <s v="DEBIT CARD"/>
  </r>
  <r>
    <d v="2018-02-26T00:00:00"/>
    <s v="Central"/>
    <x v="2"/>
    <s v="David"/>
    <s v="Cell Phone"/>
    <n v="27"/>
    <n v="225"/>
    <n v="6075"/>
    <s v="NET BANKING"/>
  </r>
  <r>
    <d v="2018-03-15T00:00:00"/>
    <s v="West"/>
    <x v="2"/>
    <s v="Stephen"/>
    <s v="Television"/>
    <n v="56"/>
    <n v="1198"/>
    <n v="67088"/>
    <s v="UPI"/>
  </r>
  <r>
    <d v="2018-04-18T00:00:00"/>
    <s v="Central"/>
    <x v="0"/>
    <s v="Steven"/>
    <s v="Television"/>
    <n v="75"/>
    <n v="1198"/>
    <n v="89850"/>
    <s v="DEBIT CARD"/>
  </r>
  <r>
    <d v="2018-05-05T00:00:00"/>
    <s v="Central"/>
    <x v="1"/>
    <s v="Luis"/>
    <s v="Television"/>
    <n v="90"/>
    <n v="1198"/>
    <n v="107820"/>
    <s v="UPI"/>
  </r>
  <r>
    <d v="2018-09-01T00:00:00"/>
    <s v="Central"/>
    <x v="3"/>
    <s v="John"/>
    <s v="Desk"/>
    <n v="2"/>
    <n v="125"/>
    <n v="250"/>
    <s v="NET BANKING"/>
  </r>
  <r>
    <d v="2019-08-24T00:00:00"/>
    <s v="West"/>
    <x v="2"/>
    <s v="Stephen"/>
    <s v="Desk"/>
    <n v="3"/>
    <n v="125"/>
    <n v="375"/>
    <s v="CASH"/>
  </r>
  <r>
    <d v="2018-01-23T00:00:00"/>
    <s v="Central"/>
    <x v="1"/>
    <s v="Shelli"/>
    <s v="Home Theater"/>
    <n v="50"/>
    <n v="500"/>
    <n v="25000"/>
    <s v="CASH"/>
  </r>
  <r>
    <d v="2018-10-05T00:00:00"/>
    <s v="Central"/>
    <x v="1"/>
    <s v="Sigal"/>
    <s v="Home Theater"/>
    <n v="28"/>
    <n v="500"/>
    <n v="14000"/>
    <s v="CASH"/>
  </r>
  <r>
    <d v="2019-05-31T00:00:00"/>
    <s v="Central"/>
    <x v="2"/>
    <s v="David"/>
    <s v="Home Theater"/>
    <n v="80"/>
    <n v="500"/>
    <n v="40000"/>
    <s v="CASH"/>
  </r>
  <r>
    <d v="2019-12-04T00:00:00"/>
    <s v="Central"/>
    <x v="1"/>
    <s v="Luis"/>
    <s v="Home Theater"/>
    <n v="94"/>
    <n v="500"/>
    <n v="47000"/>
    <s v="CASH"/>
  </r>
  <r>
    <d v="2018-05-22T00:00:00"/>
    <s v="West"/>
    <x v="3"/>
    <s v="Michael"/>
    <s v="Television"/>
    <n v="32"/>
    <n v="1198"/>
    <n v="38336"/>
    <s v="CASH"/>
  </r>
  <r>
    <d v="2018-06-25T00:00:00"/>
    <s v="Central"/>
    <x v="1"/>
    <s v="Sigal"/>
    <s v="Television"/>
    <n v="90"/>
    <n v="1198"/>
    <n v="107820"/>
    <s v="CASH"/>
  </r>
  <r>
    <d v="2018-08-15T00:00:00"/>
    <s v="East"/>
    <x v="0"/>
    <s v="Alexander"/>
    <s v="Television"/>
    <n v="35"/>
    <n v="1198"/>
    <n v="41930"/>
    <s v="DEBIT CARD"/>
  </r>
  <r>
    <d v="2018-09-18T00:00:00"/>
    <s v="East"/>
    <x v="0"/>
    <s v="Alexander"/>
    <s v="Video Games"/>
    <n v="16"/>
    <n v="58.5"/>
    <n v="936"/>
    <s v="UPI"/>
  </r>
  <r>
    <d v="2018-10-22T00:00:00"/>
    <s v="East"/>
    <x v="0"/>
    <s v="Alexander"/>
    <s v="Cell Phone"/>
    <n v="64"/>
    <n v="225"/>
    <n v="14400"/>
    <s v="NET BANKING"/>
  </r>
  <r>
    <d v="2018-11-08T00:00:00"/>
    <s v="East"/>
    <x v="3"/>
    <s v="Karen"/>
    <s v="Cell Phone"/>
    <n v="15"/>
    <n v="225"/>
    <n v="3375"/>
    <s v="DEBIT CARD"/>
  </r>
  <r>
    <d v="2018-04-01T00:00:00"/>
    <s v="East"/>
    <x v="0"/>
    <s v="Alexander"/>
    <s v="Home Theater"/>
    <n v="60"/>
    <n v="500"/>
    <n v="30000"/>
    <s v="CASH"/>
  </r>
  <r>
    <d v="2019-02-18T00:00:00"/>
    <s v="East"/>
    <x v="0"/>
    <s v="Alexander"/>
    <s v="Home Theater"/>
    <n v="4"/>
    <n v="500"/>
    <n v="2000"/>
    <s v="CASH"/>
  </r>
  <r>
    <d v="2018-07-12T00:00:00"/>
    <s v="East"/>
    <x v="0"/>
    <s v="Diana"/>
    <s v="Home Theater"/>
    <n v="29"/>
    <n v="500"/>
    <n v="14500"/>
    <s v="DEBIT CARD"/>
  </r>
  <r>
    <d v="2018-07-29T00:00:00"/>
    <s v="East"/>
    <x v="3"/>
    <s v="Karen"/>
    <s v="Home Theater"/>
    <n v="81"/>
    <n v="500"/>
    <n v="40500"/>
    <s v="NET BANKING"/>
  </r>
  <r>
    <d v="2018-06-08T00:00:00"/>
    <s v="East"/>
    <x v="0"/>
    <s v="Alexander"/>
    <s v="Home Theater"/>
    <n v="60"/>
    <n v="500"/>
    <n v="30000"/>
    <s v="UPI"/>
  </r>
  <r>
    <d v="2018-11-25T00:00:00"/>
    <s v="Central"/>
    <x v="1"/>
    <s v="Shelli"/>
    <s v="Video Games"/>
    <n v="96"/>
    <n v="58.5"/>
    <n v="5616"/>
    <s v="NET BANKING"/>
  </r>
  <r>
    <d v="2018-12-12T00:00:00"/>
    <s v="Central"/>
    <x v="3"/>
    <s v="John"/>
    <s v="Television"/>
    <n v="67"/>
    <n v="1198"/>
    <n v="80266"/>
    <s v="DEBIT CARD"/>
  </r>
  <r>
    <d v="2018-12-29T00:00:00"/>
    <s v="East"/>
    <x v="3"/>
    <s v="Karen"/>
    <s v="Video Games"/>
    <n v="74"/>
    <n v="58.5"/>
    <n v="4329"/>
    <s v="DEBIT CARD"/>
  </r>
  <r>
    <d v="2019-01-15T00:00:00"/>
    <s v="Central"/>
    <x v="2"/>
    <s v="David"/>
    <s v="Home Theater"/>
    <n v="46"/>
    <n v="500"/>
    <n v="23000"/>
    <s v="NET BANKING"/>
  </r>
  <r>
    <d v="2019-02-01T00:00:00"/>
    <s v="Central"/>
    <x v="3"/>
    <s v="John"/>
    <s v="Home Theater"/>
    <n v="87"/>
    <n v="500"/>
    <n v="43500"/>
    <s v="UPI"/>
  </r>
  <r>
    <d v="2019-03-07T00:00:00"/>
    <s v="West"/>
    <x v="2"/>
    <s v="Stephen"/>
    <s v="Home Theater"/>
    <n v="7"/>
    <n v="500"/>
    <n v="3500"/>
    <s v="DEBIT CARD"/>
  </r>
  <r>
    <d v="2019-03-24T00:00:00"/>
    <s v="Central"/>
    <x v="1"/>
    <s v="Luis"/>
    <s v="Video Games"/>
    <n v="50"/>
    <n v="58.5"/>
    <n v="2925"/>
    <s v="NET BANKING"/>
  </r>
  <r>
    <d v="2019-04-10T00:00:00"/>
    <s v="Central"/>
    <x v="0"/>
    <s v="Steven"/>
    <s v="Television"/>
    <n v="66"/>
    <n v="1198"/>
    <n v="79068"/>
    <s v="DEBIT CARD"/>
  </r>
  <r>
    <d v="2019-04-27T00:00:00"/>
    <s v="East"/>
    <x v="0"/>
    <s v="Diana"/>
    <s v="Cell Phone"/>
    <n v="96"/>
    <n v="225"/>
    <n v="21600"/>
    <s v="CASH"/>
  </r>
  <r>
    <d v="2019-05-14T00:00:00"/>
    <s v="Central"/>
    <x v="2"/>
    <s v="David"/>
    <s v="Television"/>
    <n v="53"/>
    <n v="1198"/>
    <n v="63494"/>
    <s v="UPI"/>
  </r>
  <r>
    <d v="2019-06-17T00:00:00"/>
    <s v="Central"/>
    <x v="1"/>
    <s v="Shelli"/>
    <s v="Desk"/>
    <n v="5"/>
    <n v="125"/>
    <n v="625"/>
    <s v="DEBIT CARD"/>
  </r>
  <r>
    <d v="2019-07-04T00:00:00"/>
    <s v="East"/>
    <x v="0"/>
    <s v="Alexander"/>
    <s v="Video Games"/>
    <n v="62"/>
    <n v="58.5"/>
    <n v="3627"/>
    <s v="CASH"/>
  </r>
  <r>
    <d v="2019-07-21T00:00:00"/>
    <s v="Central"/>
    <x v="1"/>
    <s v="Sigal"/>
    <s v="Video Games"/>
    <n v="55"/>
    <n v="58.5"/>
    <n v="3217.5"/>
    <s v="DEBIT CARD"/>
  </r>
  <r>
    <d v="2019-08-07T00:00:00"/>
    <s v="Central"/>
    <x v="1"/>
    <s v="Shelli"/>
    <s v="Video Games"/>
    <n v="42"/>
    <n v="58.5"/>
    <n v="2457"/>
    <s v="NET BANKING"/>
  </r>
  <r>
    <d v="2019-09-10T00:00:00"/>
    <s v="Central"/>
    <x v="2"/>
    <s v="David"/>
    <s v="Television"/>
    <n v="7"/>
    <n v="1198"/>
    <n v="8386"/>
    <s v="DEBIT CARD"/>
  </r>
  <r>
    <d v="2019-09-27T00:00:00"/>
    <s v="West"/>
    <x v="2"/>
    <s v="Stephen"/>
    <s v="Cell Phone"/>
    <n v="76"/>
    <n v="225"/>
    <n v="17100"/>
    <s v="NET BANKING"/>
  </r>
  <r>
    <d v="2019-10-14T00:00:00"/>
    <s v="West"/>
    <x v="3"/>
    <s v="Michael"/>
    <s v="Home Theater"/>
    <n v="57"/>
    <n v="500"/>
    <n v="28500"/>
    <s v="CASH"/>
  </r>
  <r>
    <d v="2019-10-31T00:00:00"/>
    <s v="Central"/>
    <x v="0"/>
    <s v="Steven"/>
    <s v="Television"/>
    <n v="14"/>
    <n v="1198"/>
    <n v="16772"/>
    <s v="DEBIT CARD"/>
  </r>
  <r>
    <d v="2019-11-17T00:00:00"/>
    <s v="Central"/>
    <x v="1"/>
    <s v="Luis"/>
    <s v="Home Theater"/>
    <n v="11"/>
    <n v="500"/>
    <n v="5500"/>
    <s v="DEBIT CARD"/>
  </r>
  <r>
    <d v="2019-12-21T00:00:00"/>
    <s v="Central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C233B-D4D6-4316-A70E-B7424E7F4DC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8B30-1FA5-4AAE-A9E0-6F3A0FF6257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105FE-384B-4BFA-855B-5023E3F4C26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F1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3331-90ED-4F0C-9CA9-C15CEFE6327A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9:I14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C0A2-CB94-463D-B4DC-6F33A7353C3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7:I22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sortState ref="A2:I44">
    <sortCondition ref="A2"/>
  </sortState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46049</v>
      </c>
      <c r="B2" s="5">
        <f ca="1">NOW()</f>
        <v>46049.473509143521</v>
      </c>
      <c r="C2">
        <f ca="1">YEAR(B2)</f>
        <v>2026</v>
      </c>
      <c r="D2">
        <f ca="1">MONTH(B2)</f>
        <v>1</v>
      </c>
      <c r="E2">
        <f ca="1">DAY(B2)</f>
        <v>27</v>
      </c>
      <c r="F2">
        <f ca="1">HOUR(B2)</f>
        <v>11</v>
      </c>
      <c r="G2">
        <f ca="1">MINUTE(B2)</f>
        <v>21</v>
      </c>
      <c r="H2">
        <f ca="1">SECOND(B2)</f>
        <v>51</v>
      </c>
      <c r="I2" s="5">
        <f ca="1">EDATE(A2,4)</f>
        <v>46169</v>
      </c>
    </row>
    <row r="4" spans="1:11" x14ac:dyDescent="0.3">
      <c r="I4" s="4">
        <f ca="1">EDATE(A2,3*12)</f>
        <v>47145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3:I22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</cols>
  <sheetData>
    <row r="3" spans="1:9" x14ac:dyDescent="0.3">
      <c r="A3" s="17" t="s">
        <v>47</v>
      </c>
      <c r="B3" t="s">
        <v>49</v>
      </c>
      <c r="C3" t="s">
        <v>50</v>
      </c>
    </row>
    <row r="4" spans="1:9" x14ac:dyDescent="0.3">
      <c r="A4" s="18" t="s">
        <v>31</v>
      </c>
      <c r="B4" s="19">
        <v>239056</v>
      </c>
      <c r="C4" s="20">
        <v>0.90625</v>
      </c>
    </row>
    <row r="5" spans="1:9" x14ac:dyDescent="0.3">
      <c r="A5" s="18" t="s">
        <v>35</v>
      </c>
      <c r="B5" s="19">
        <v>365108.5</v>
      </c>
      <c r="C5" s="20">
        <v>1</v>
      </c>
    </row>
    <row r="6" spans="1:9" x14ac:dyDescent="0.3">
      <c r="A6" s="18" t="s">
        <v>28</v>
      </c>
      <c r="B6" s="19">
        <v>472493</v>
      </c>
      <c r="C6" s="20">
        <v>1</v>
      </c>
    </row>
    <row r="7" spans="1:9" x14ac:dyDescent="0.3">
      <c r="A7" s="18" t="s">
        <v>21</v>
      </c>
      <c r="B7" s="19">
        <v>229018</v>
      </c>
      <c r="C7" s="20">
        <v>0.83333333333333337</v>
      </c>
    </row>
    <row r="8" spans="1:9" x14ac:dyDescent="0.3">
      <c r="A8" s="18" t="s">
        <v>48</v>
      </c>
      <c r="B8" s="19">
        <v>1305675.5</v>
      </c>
      <c r="C8" s="20">
        <v>1</v>
      </c>
    </row>
    <row r="9" spans="1:9" x14ac:dyDescent="0.3">
      <c r="G9" s="17" t="s">
        <v>47</v>
      </c>
      <c r="H9" s="17" t="s">
        <v>49</v>
      </c>
      <c r="I9" s="17" t="s">
        <v>50</v>
      </c>
    </row>
    <row r="10" spans="1:9" x14ac:dyDescent="0.3">
      <c r="G10" s="18" t="s">
        <v>31</v>
      </c>
      <c r="H10" s="19">
        <v>239056</v>
      </c>
      <c r="I10" s="20">
        <v>0.90625</v>
      </c>
    </row>
    <row r="11" spans="1:9" x14ac:dyDescent="0.3">
      <c r="G11" s="18" t="s">
        <v>35</v>
      </c>
      <c r="H11" s="19">
        <v>365108.5</v>
      </c>
      <c r="I11" s="20">
        <v>1</v>
      </c>
    </row>
    <row r="12" spans="1:9" x14ac:dyDescent="0.3">
      <c r="A12" s="17" t="s">
        <v>47</v>
      </c>
      <c r="B12" s="17" t="s">
        <v>49</v>
      </c>
      <c r="C12" s="17" t="s">
        <v>50</v>
      </c>
      <c r="D12" s="17"/>
      <c r="G12" s="18" t="s">
        <v>28</v>
      </c>
      <c r="H12" s="19">
        <v>472493</v>
      </c>
      <c r="I12" s="20">
        <v>1</v>
      </c>
    </row>
    <row r="13" spans="1:9" x14ac:dyDescent="0.3">
      <c r="A13" s="18" t="s">
        <v>31</v>
      </c>
      <c r="B13" s="19">
        <v>239056</v>
      </c>
      <c r="C13" s="20">
        <v>0.90625</v>
      </c>
      <c r="D13" s="17" t="s">
        <v>47</v>
      </c>
      <c r="E13" s="17" t="s">
        <v>49</v>
      </c>
      <c r="F13" s="17" t="s">
        <v>50</v>
      </c>
      <c r="G13" s="21" t="s">
        <v>21</v>
      </c>
      <c r="H13" s="22">
        <v>229018</v>
      </c>
      <c r="I13" s="23">
        <v>0.83333333333333337</v>
      </c>
    </row>
    <row r="14" spans="1:9" x14ac:dyDescent="0.3">
      <c r="A14" s="18" t="s">
        <v>35</v>
      </c>
      <c r="B14" s="19">
        <v>365108.5</v>
      </c>
      <c r="C14" s="20">
        <v>1</v>
      </c>
      <c r="D14" s="18" t="s">
        <v>31</v>
      </c>
      <c r="E14" s="19">
        <v>239056</v>
      </c>
      <c r="F14" s="20">
        <v>0.90625</v>
      </c>
      <c r="G14" s="18" t="s">
        <v>48</v>
      </c>
      <c r="H14" s="19">
        <v>1305675.5</v>
      </c>
      <c r="I14" s="20">
        <v>1</v>
      </c>
    </row>
    <row r="15" spans="1:9" x14ac:dyDescent="0.3">
      <c r="A15" s="18" t="s">
        <v>28</v>
      </c>
      <c r="B15" s="19">
        <v>472493</v>
      </c>
      <c r="C15" s="20">
        <v>1</v>
      </c>
      <c r="D15" s="18" t="s">
        <v>35</v>
      </c>
      <c r="E15" s="19">
        <v>365108.5</v>
      </c>
      <c r="F15" s="20">
        <v>1</v>
      </c>
    </row>
    <row r="16" spans="1:9" x14ac:dyDescent="0.3">
      <c r="A16" s="18" t="s">
        <v>21</v>
      </c>
      <c r="B16" s="19">
        <v>229018</v>
      </c>
      <c r="C16" s="20">
        <v>0.83333333333333337</v>
      </c>
      <c r="D16" s="18" t="s">
        <v>28</v>
      </c>
      <c r="E16" s="19">
        <v>472493</v>
      </c>
      <c r="F16" s="20">
        <v>1</v>
      </c>
    </row>
    <row r="17" spans="1:9" x14ac:dyDescent="0.3">
      <c r="A17" s="18" t="s">
        <v>48</v>
      </c>
      <c r="B17" s="19">
        <v>1305675.5</v>
      </c>
      <c r="C17" s="20">
        <v>1</v>
      </c>
      <c r="D17" s="18" t="s">
        <v>21</v>
      </c>
      <c r="E17" s="19">
        <v>229018</v>
      </c>
      <c r="F17" s="20">
        <v>0.83333333333333337</v>
      </c>
      <c r="G17" s="17" t="s">
        <v>47</v>
      </c>
      <c r="H17" s="17" t="s">
        <v>49</v>
      </c>
      <c r="I17" s="17" t="s">
        <v>50</v>
      </c>
    </row>
    <row r="18" spans="1:9" x14ac:dyDescent="0.3">
      <c r="D18" s="18" t="s">
        <v>48</v>
      </c>
      <c r="E18" s="19">
        <v>1305675.5</v>
      </c>
      <c r="F18" s="20">
        <v>1</v>
      </c>
      <c r="G18" s="18" t="s">
        <v>31</v>
      </c>
      <c r="H18" s="19">
        <v>239056</v>
      </c>
      <c r="I18" s="20">
        <v>0.90625</v>
      </c>
    </row>
    <row r="19" spans="1:9" x14ac:dyDescent="0.3">
      <c r="G19" s="18" t="s">
        <v>35</v>
      </c>
      <c r="H19" s="19">
        <v>365108.5</v>
      </c>
      <c r="I19" s="20">
        <v>1</v>
      </c>
    </row>
    <row r="20" spans="1:9" x14ac:dyDescent="0.3">
      <c r="G20" s="18" t="s">
        <v>28</v>
      </c>
      <c r="H20" s="19">
        <v>472493</v>
      </c>
      <c r="I20" s="20">
        <v>1</v>
      </c>
    </row>
    <row r="21" spans="1:9" x14ac:dyDescent="0.3">
      <c r="G21" s="18" t="s">
        <v>21</v>
      </c>
      <c r="H21" s="19">
        <v>229018</v>
      </c>
      <c r="I21" s="20">
        <v>0.83333333333333337</v>
      </c>
    </row>
    <row r="22" spans="1:9" x14ac:dyDescent="0.3">
      <c r="G22" s="18" t="s">
        <v>48</v>
      </c>
      <c r="H22" s="19">
        <v>1305675.5</v>
      </c>
      <c r="I22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zoomScale="85" zoomScaleNormal="85" workbookViewId="0">
      <selection sqref="A1:I25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14">
        <v>43106</v>
      </c>
      <c r="B2" s="3" t="s">
        <v>27</v>
      </c>
      <c r="C2" s="3" t="s">
        <v>28</v>
      </c>
      <c r="D2" s="3" t="s">
        <v>34</v>
      </c>
      <c r="E2" s="3" t="s">
        <v>45</v>
      </c>
      <c r="F2" s="3">
        <v>95</v>
      </c>
      <c r="G2" s="3">
        <v>1198</v>
      </c>
      <c r="H2" s="3">
        <v>113810</v>
      </c>
      <c r="I2" s="3" t="s">
        <v>43</v>
      </c>
    </row>
    <row r="3" spans="1:18" x14ac:dyDescent="0.3">
      <c r="A3" s="1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" t="s">
        <v>33</v>
      </c>
    </row>
    <row r="4" spans="1:18" x14ac:dyDescent="0.3">
      <c r="A4" s="1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" t="s">
        <v>24</v>
      </c>
    </row>
    <row r="5" spans="1:18" x14ac:dyDescent="0.3">
      <c r="A5" s="1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" t="s">
        <v>43</v>
      </c>
    </row>
    <row r="6" spans="1:18" x14ac:dyDescent="0.3">
      <c r="A6" s="14">
        <v>43208</v>
      </c>
      <c r="B6" s="3" t="s">
        <v>20</v>
      </c>
      <c r="C6" s="3" t="s">
        <v>28</v>
      </c>
      <c r="D6" s="3" t="s">
        <v>42</v>
      </c>
      <c r="E6" s="3" t="s">
        <v>45</v>
      </c>
      <c r="F6" s="3">
        <v>75</v>
      </c>
      <c r="G6" s="3">
        <v>1198</v>
      </c>
      <c r="H6" s="3">
        <v>89850</v>
      </c>
      <c r="I6" s="3" t="s">
        <v>33</v>
      </c>
    </row>
    <row r="7" spans="1:18" x14ac:dyDescent="0.3">
      <c r="A7" s="1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" t="s">
        <v>43</v>
      </c>
    </row>
    <row r="8" spans="1:18" hidden="1" x14ac:dyDescent="0.3">
      <c r="A8" s="1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1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1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1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1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1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1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" t="s">
        <v>30</v>
      </c>
    </row>
    <row r="15" spans="1:18" collapsed="1" x14ac:dyDescent="0.3">
      <c r="A15" s="1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" t="s">
        <v>30</v>
      </c>
    </row>
    <row r="16" spans="1:18" x14ac:dyDescent="0.3">
      <c r="A16" s="1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" t="s">
        <v>33</v>
      </c>
    </row>
    <row r="17" spans="1:9" x14ac:dyDescent="0.3">
      <c r="A17" s="1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" t="s">
        <v>43</v>
      </c>
    </row>
    <row r="18" spans="1:9" x14ac:dyDescent="0.3">
      <c r="A18" s="1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" t="s">
        <v>24</v>
      </c>
    </row>
    <row r="19" spans="1:9" x14ac:dyDescent="0.3">
      <c r="A19" s="1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" t="s">
        <v>33</v>
      </c>
    </row>
    <row r="20" spans="1:9" hidden="1" x14ac:dyDescent="0.3">
      <c r="A20" s="1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1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1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1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1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14">
        <v>43429</v>
      </c>
      <c r="B25" s="3" t="s">
        <v>20</v>
      </c>
      <c r="C25" s="3" t="s">
        <v>35</v>
      </c>
      <c r="D25" s="3" t="s">
        <v>36</v>
      </c>
      <c r="E25" s="3" t="s">
        <v>46</v>
      </c>
      <c r="F25" s="3">
        <v>96</v>
      </c>
      <c r="G25" s="3">
        <v>58.5</v>
      </c>
      <c r="H25" s="3">
        <v>5616</v>
      </c>
      <c r="I25" s="3" t="s">
        <v>24</v>
      </c>
    </row>
    <row r="26" spans="1:9" x14ac:dyDescent="0.3">
      <c r="A26" s="13">
        <v>43446</v>
      </c>
      <c r="B26" s="2" t="s">
        <v>20</v>
      </c>
      <c r="C26" s="2" t="s">
        <v>31</v>
      </c>
      <c r="D26" s="2" t="s">
        <v>38</v>
      </c>
      <c r="E26" s="2" t="s">
        <v>45</v>
      </c>
      <c r="F26" s="2">
        <v>67</v>
      </c>
      <c r="G26" s="2">
        <v>1198</v>
      </c>
      <c r="H26" s="2">
        <v>80266</v>
      </c>
      <c r="I26" s="2" t="s">
        <v>33</v>
      </c>
    </row>
    <row r="27" spans="1:9" x14ac:dyDescent="0.3">
      <c r="A27" s="14">
        <v>43463</v>
      </c>
      <c r="B27" s="3" t="s">
        <v>27</v>
      </c>
      <c r="C27" s="3" t="s">
        <v>31</v>
      </c>
      <c r="D27" s="3" t="s">
        <v>32</v>
      </c>
      <c r="E27" s="3" t="s">
        <v>46</v>
      </c>
      <c r="F27" s="3">
        <v>74</v>
      </c>
      <c r="G27" s="3">
        <v>58.5</v>
      </c>
      <c r="H27" s="3">
        <v>4329</v>
      </c>
      <c r="I27" s="3" t="s">
        <v>33</v>
      </c>
    </row>
    <row r="28" spans="1:9" x14ac:dyDescent="0.3">
      <c r="A28" s="13">
        <v>43480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46</v>
      </c>
      <c r="G28" s="2">
        <v>500</v>
      </c>
      <c r="H28" s="2">
        <v>23000</v>
      </c>
      <c r="I28" s="2" t="s">
        <v>24</v>
      </c>
    </row>
    <row r="29" spans="1:9" x14ac:dyDescent="0.3">
      <c r="A29" s="14">
        <v>43497</v>
      </c>
      <c r="B29" s="3" t="s">
        <v>20</v>
      </c>
      <c r="C29" s="3" t="s">
        <v>31</v>
      </c>
      <c r="D29" s="3" t="s">
        <v>38</v>
      </c>
      <c r="E29" s="3" t="s">
        <v>39</v>
      </c>
      <c r="F29" s="3">
        <v>87</v>
      </c>
      <c r="G29" s="3">
        <v>500</v>
      </c>
      <c r="H29" s="3">
        <v>43500</v>
      </c>
      <c r="I29" s="3" t="s">
        <v>43</v>
      </c>
    </row>
    <row r="30" spans="1:9" x14ac:dyDescent="0.3">
      <c r="A30" s="14">
        <v>43531</v>
      </c>
      <c r="B30" s="3" t="s">
        <v>25</v>
      </c>
      <c r="C30" s="3" t="s">
        <v>21</v>
      </c>
      <c r="D30" s="3" t="s">
        <v>26</v>
      </c>
      <c r="E30" s="3" t="s">
        <v>39</v>
      </c>
      <c r="F30" s="3">
        <v>7</v>
      </c>
      <c r="G30" s="3">
        <v>500</v>
      </c>
      <c r="H30" s="3">
        <v>3500</v>
      </c>
      <c r="I30" s="3" t="s">
        <v>33</v>
      </c>
    </row>
    <row r="31" spans="1:9" x14ac:dyDescent="0.3">
      <c r="A31" s="13">
        <v>43548</v>
      </c>
      <c r="B31" s="2" t="s">
        <v>20</v>
      </c>
      <c r="C31" s="2" t="s">
        <v>35</v>
      </c>
      <c r="D31" s="2" t="s">
        <v>41</v>
      </c>
      <c r="E31" s="2" t="s">
        <v>46</v>
      </c>
      <c r="F31" s="2">
        <v>50</v>
      </c>
      <c r="G31" s="2">
        <v>58.5</v>
      </c>
      <c r="H31" s="2">
        <v>2925</v>
      </c>
      <c r="I31" s="2" t="s">
        <v>24</v>
      </c>
    </row>
    <row r="32" spans="1:9" x14ac:dyDescent="0.3">
      <c r="A32" s="14">
        <v>43565</v>
      </c>
      <c r="B32" s="3" t="s">
        <v>20</v>
      </c>
      <c r="C32" s="3" t="s">
        <v>28</v>
      </c>
      <c r="D32" s="3" t="s">
        <v>42</v>
      </c>
      <c r="E32" s="3" t="s">
        <v>45</v>
      </c>
      <c r="F32" s="3">
        <v>66</v>
      </c>
      <c r="G32" s="3">
        <v>1198</v>
      </c>
      <c r="H32" s="3">
        <v>79068</v>
      </c>
      <c r="I32" s="3" t="s">
        <v>33</v>
      </c>
    </row>
    <row r="33" spans="1:9" x14ac:dyDescent="0.3">
      <c r="A33" s="13">
        <v>43582</v>
      </c>
      <c r="B33" s="2" t="s">
        <v>27</v>
      </c>
      <c r="C33" s="2" t="s">
        <v>28</v>
      </c>
      <c r="D33" s="2" t="s">
        <v>29</v>
      </c>
      <c r="E33" s="2" t="s">
        <v>23</v>
      </c>
      <c r="F33" s="2">
        <v>96</v>
      </c>
      <c r="G33" s="2">
        <v>225</v>
      </c>
      <c r="H33" s="2">
        <v>21600</v>
      </c>
      <c r="I33" s="2" t="s">
        <v>30</v>
      </c>
    </row>
    <row r="34" spans="1:9" x14ac:dyDescent="0.3">
      <c r="A34" s="14">
        <v>43599</v>
      </c>
      <c r="B34" s="3" t="s">
        <v>20</v>
      </c>
      <c r="C34" s="3" t="s">
        <v>21</v>
      </c>
      <c r="D34" s="3" t="s">
        <v>22</v>
      </c>
      <c r="E34" s="3" t="s">
        <v>45</v>
      </c>
      <c r="F34" s="3">
        <v>53</v>
      </c>
      <c r="G34" s="3">
        <v>1198</v>
      </c>
      <c r="H34" s="3">
        <v>63494</v>
      </c>
      <c r="I34" s="3" t="s">
        <v>43</v>
      </c>
    </row>
    <row r="35" spans="1:9" x14ac:dyDescent="0.3">
      <c r="A35" s="14">
        <v>43633</v>
      </c>
      <c r="B35" s="3" t="s">
        <v>20</v>
      </c>
      <c r="C35" s="3" t="s">
        <v>35</v>
      </c>
      <c r="D35" s="3" t="s">
        <v>36</v>
      </c>
      <c r="E35" s="3" t="s">
        <v>37</v>
      </c>
      <c r="F35" s="3">
        <v>5</v>
      </c>
      <c r="G35" s="3">
        <v>125</v>
      </c>
      <c r="H35" s="3">
        <v>625</v>
      </c>
      <c r="I35" s="3" t="s">
        <v>33</v>
      </c>
    </row>
    <row r="36" spans="1:9" x14ac:dyDescent="0.3">
      <c r="A36" s="13">
        <v>43650</v>
      </c>
      <c r="B36" s="2" t="s">
        <v>27</v>
      </c>
      <c r="C36" s="2" t="s">
        <v>28</v>
      </c>
      <c r="D36" s="2" t="s">
        <v>34</v>
      </c>
      <c r="E36" s="2" t="s">
        <v>46</v>
      </c>
      <c r="F36" s="2">
        <v>62</v>
      </c>
      <c r="G36" s="2">
        <v>58.5</v>
      </c>
      <c r="H36" s="2">
        <v>3627</v>
      </c>
      <c r="I36" s="2" t="s">
        <v>30</v>
      </c>
    </row>
    <row r="37" spans="1:9" x14ac:dyDescent="0.3">
      <c r="A37" s="13">
        <v>43667</v>
      </c>
      <c r="B37" s="2" t="s">
        <v>20</v>
      </c>
      <c r="C37" s="2" t="s">
        <v>35</v>
      </c>
      <c r="D37" s="2" t="s">
        <v>40</v>
      </c>
      <c r="E37" s="2" t="s">
        <v>46</v>
      </c>
      <c r="F37" s="2">
        <v>55</v>
      </c>
      <c r="G37" s="2">
        <v>58.5</v>
      </c>
      <c r="H37" s="2">
        <v>3217.5</v>
      </c>
      <c r="I37" s="2" t="s">
        <v>33</v>
      </c>
    </row>
    <row r="38" spans="1:9" x14ac:dyDescent="0.3">
      <c r="A38" s="14">
        <v>43684</v>
      </c>
      <c r="B38" s="3" t="s">
        <v>20</v>
      </c>
      <c r="C38" s="3" t="s">
        <v>35</v>
      </c>
      <c r="D38" s="3" t="s">
        <v>36</v>
      </c>
      <c r="E38" s="3" t="s">
        <v>46</v>
      </c>
      <c r="F38" s="3">
        <v>42</v>
      </c>
      <c r="G38" s="3">
        <v>58.5</v>
      </c>
      <c r="H38" s="3">
        <v>2457</v>
      </c>
      <c r="I38" s="3" t="s">
        <v>24</v>
      </c>
    </row>
    <row r="39" spans="1:9" x14ac:dyDescent="0.3">
      <c r="A39" s="13">
        <v>43718</v>
      </c>
      <c r="B39" s="2" t="s">
        <v>20</v>
      </c>
      <c r="C39" s="2" t="s">
        <v>21</v>
      </c>
      <c r="D39" s="2" t="s">
        <v>22</v>
      </c>
      <c r="E39" s="2" t="s">
        <v>45</v>
      </c>
      <c r="F39" s="2">
        <v>7</v>
      </c>
      <c r="G39" s="2">
        <v>1198</v>
      </c>
      <c r="H39" s="2">
        <v>8386</v>
      </c>
      <c r="I39" s="2" t="s">
        <v>33</v>
      </c>
    </row>
    <row r="40" spans="1:9" x14ac:dyDescent="0.3">
      <c r="A40" s="14">
        <v>43735</v>
      </c>
      <c r="B40" s="3" t="s">
        <v>25</v>
      </c>
      <c r="C40" s="3" t="s">
        <v>21</v>
      </c>
      <c r="D40" s="3" t="s">
        <v>26</v>
      </c>
      <c r="E40" s="3" t="s">
        <v>23</v>
      </c>
      <c r="F40" s="3">
        <v>76</v>
      </c>
      <c r="G40" s="3">
        <v>225</v>
      </c>
      <c r="H40" s="3">
        <v>17100</v>
      </c>
      <c r="I40" s="3" t="s">
        <v>24</v>
      </c>
    </row>
    <row r="41" spans="1:9" x14ac:dyDescent="0.3">
      <c r="A41" s="13">
        <v>43752</v>
      </c>
      <c r="B41" s="2" t="s">
        <v>25</v>
      </c>
      <c r="C41" s="2" t="s">
        <v>31</v>
      </c>
      <c r="D41" s="2" t="s">
        <v>44</v>
      </c>
      <c r="E41" s="2" t="s">
        <v>39</v>
      </c>
      <c r="F41" s="2">
        <v>57</v>
      </c>
      <c r="G41" s="2">
        <v>500</v>
      </c>
      <c r="H41" s="2">
        <v>28500</v>
      </c>
      <c r="I41" s="2" t="s">
        <v>30</v>
      </c>
    </row>
    <row r="42" spans="1:9" x14ac:dyDescent="0.3">
      <c r="A42" s="14">
        <v>43769</v>
      </c>
      <c r="B42" s="3" t="s">
        <v>20</v>
      </c>
      <c r="C42" s="3" t="s">
        <v>28</v>
      </c>
      <c r="D42" s="3" t="s">
        <v>42</v>
      </c>
      <c r="E42" s="3" t="s">
        <v>45</v>
      </c>
      <c r="F42" s="3">
        <v>14</v>
      </c>
      <c r="G42" s="3">
        <v>1198</v>
      </c>
      <c r="H42" s="3">
        <v>16772</v>
      </c>
      <c r="I42" s="3" t="s">
        <v>33</v>
      </c>
    </row>
    <row r="43" spans="1:9" x14ac:dyDescent="0.3">
      <c r="A43" s="13">
        <v>43786</v>
      </c>
      <c r="B43" s="2" t="s">
        <v>20</v>
      </c>
      <c r="C43" s="2" t="s">
        <v>35</v>
      </c>
      <c r="D43" s="2" t="s">
        <v>41</v>
      </c>
      <c r="E43" s="2" t="s">
        <v>39</v>
      </c>
      <c r="F43" s="2">
        <v>11</v>
      </c>
      <c r="G43" s="2">
        <v>500</v>
      </c>
      <c r="H43" s="2">
        <v>5500</v>
      </c>
      <c r="I43" s="2" t="s">
        <v>33</v>
      </c>
    </row>
    <row r="44" spans="1:9" x14ac:dyDescent="0.3">
      <c r="A44" s="14">
        <v>43820</v>
      </c>
      <c r="B44" s="3" t="s">
        <v>20</v>
      </c>
      <c r="C44" s="3" t="s">
        <v>28</v>
      </c>
      <c r="D44" s="3" t="s">
        <v>42</v>
      </c>
      <c r="E44" s="3" t="s">
        <v>39</v>
      </c>
      <c r="F44" s="3">
        <v>28</v>
      </c>
      <c r="G44" s="3">
        <v>500</v>
      </c>
      <c r="H44" s="3">
        <v>14000</v>
      </c>
      <c r="I44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33"/>
  <sheetViews>
    <sheetView zoomScale="115" zoomScaleNormal="115" workbookViewId="0">
      <selection activeCell="I10" sqref="I10"/>
    </sheetView>
  </sheetViews>
  <sheetFormatPr defaultRowHeight="14.4" x14ac:dyDescent="0.3"/>
  <sheetData>
    <row r="4" spans="2:17" x14ac:dyDescent="0.3">
      <c r="B4" t="s">
        <v>51</v>
      </c>
      <c r="C4">
        <v>500</v>
      </c>
      <c r="F4">
        <f>C4*C5*C6</f>
        <v>50000</v>
      </c>
    </row>
    <row r="5" spans="2:17" x14ac:dyDescent="0.3">
      <c r="B5" t="s">
        <v>52</v>
      </c>
      <c r="C5">
        <v>100</v>
      </c>
      <c r="E5">
        <v>500</v>
      </c>
      <c r="F5">
        <f t="dataTable" ref="F5:F18" dt2D="0" dtr="0" r1="C4"/>
        <v>50000</v>
      </c>
    </row>
    <row r="6" spans="2:17" x14ac:dyDescent="0.3">
      <c r="B6" t="s">
        <v>3</v>
      </c>
      <c r="C6">
        <v>1</v>
      </c>
      <c r="E6">
        <v>600</v>
      </c>
      <c r="F6">
        <v>60000</v>
      </c>
    </row>
    <row r="7" spans="2:17" x14ac:dyDescent="0.3">
      <c r="E7">
        <v>700</v>
      </c>
      <c r="F7">
        <v>70000</v>
      </c>
      <c r="I7">
        <f>C4*C5*C6</f>
        <v>50000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t="s">
        <v>53</v>
      </c>
      <c r="C8">
        <f>C4*C5*C6</f>
        <v>50000</v>
      </c>
      <c r="E8">
        <v>800</v>
      </c>
      <c r="F8">
        <v>80000</v>
      </c>
      <c r="I8">
        <v>500</v>
      </c>
      <c r="J8">
        <f t="dataTable" ref="J8:Q19" dt2D="1" dtr="1" r1="C6" r2="C4" ca="1"/>
        <v>50000</v>
      </c>
      <c r="K8">
        <v>100000</v>
      </c>
      <c r="L8">
        <v>150000</v>
      </c>
      <c r="M8">
        <v>200000</v>
      </c>
      <c r="N8">
        <v>250000</v>
      </c>
      <c r="O8">
        <v>300000</v>
      </c>
      <c r="P8">
        <v>350000</v>
      </c>
      <c r="Q8">
        <v>400000</v>
      </c>
    </row>
    <row r="9" spans="2:17" x14ac:dyDescent="0.3">
      <c r="E9">
        <v>900</v>
      </c>
      <c r="F9">
        <v>90000</v>
      </c>
      <c r="I9">
        <v>600</v>
      </c>
      <c r="J9">
        <v>60000</v>
      </c>
      <c r="K9">
        <v>120000</v>
      </c>
      <c r="L9">
        <v>180000</v>
      </c>
      <c r="M9">
        <v>240000</v>
      </c>
      <c r="N9">
        <v>300000</v>
      </c>
      <c r="O9">
        <v>360000</v>
      </c>
      <c r="P9">
        <v>420000</v>
      </c>
      <c r="Q9">
        <v>480000</v>
      </c>
    </row>
    <row r="10" spans="2:17" x14ac:dyDescent="0.3">
      <c r="E10">
        <v>1000</v>
      </c>
      <c r="F10">
        <v>100000</v>
      </c>
      <c r="I10">
        <v>700</v>
      </c>
      <c r="J10">
        <v>70000</v>
      </c>
      <c r="K10">
        <v>140000</v>
      </c>
      <c r="L10">
        <v>210000</v>
      </c>
      <c r="M10">
        <v>280000</v>
      </c>
      <c r="N10">
        <v>350000</v>
      </c>
      <c r="O10">
        <v>420000</v>
      </c>
      <c r="P10">
        <v>490000</v>
      </c>
      <c r="Q10">
        <v>560000</v>
      </c>
    </row>
    <row r="11" spans="2:17" x14ac:dyDescent="0.3">
      <c r="E11">
        <v>1100</v>
      </c>
      <c r="F11">
        <v>110000</v>
      </c>
      <c r="I11">
        <v>800</v>
      </c>
      <c r="J11">
        <v>80000</v>
      </c>
      <c r="K11">
        <v>160000</v>
      </c>
      <c r="L11">
        <v>240000</v>
      </c>
      <c r="M11">
        <v>320000</v>
      </c>
      <c r="N11">
        <v>400000</v>
      </c>
      <c r="O11">
        <v>480000</v>
      </c>
      <c r="P11">
        <v>560000</v>
      </c>
      <c r="Q11">
        <v>640000</v>
      </c>
    </row>
    <row r="12" spans="2:17" x14ac:dyDescent="0.3">
      <c r="E12">
        <v>1200</v>
      </c>
      <c r="F12">
        <v>120000</v>
      </c>
      <c r="I12">
        <v>900</v>
      </c>
      <c r="J12">
        <v>90000</v>
      </c>
      <c r="K12">
        <v>180000</v>
      </c>
      <c r="L12">
        <v>270000</v>
      </c>
      <c r="M12">
        <v>360000</v>
      </c>
      <c r="N12">
        <v>450000</v>
      </c>
      <c r="O12">
        <v>540000</v>
      </c>
      <c r="P12">
        <v>630000</v>
      </c>
      <c r="Q12">
        <v>720000</v>
      </c>
    </row>
    <row r="13" spans="2:17" x14ac:dyDescent="0.3">
      <c r="E13">
        <v>1300</v>
      </c>
      <c r="F13">
        <v>130000</v>
      </c>
      <c r="I13">
        <v>1000</v>
      </c>
      <c r="J13">
        <v>100000</v>
      </c>
      <c r="K13">
        <v>200000</v>
      </c>
      <c r="L13">
        <v>300000</v>
      </c>
      <c r="M13">
        <v>400000</v>
      </c>
      <c r="N13">
        <v>500000</v>
      </c>
      <c r="O13">
        <v>600000</v>
      </c>
      <c r="P13">
        <v>700000</v>
      </c>
      <c r="Q13">
        <v>800000</v>
      </c>
    </row>
    <row r="14" spans="2:17" x14ac:dyDescent="0.3">
      <c r="E14">
        <v>1400</v>
      </c>
      <c r="F14">
        <v>140000</v>
      </c>
      <c r="I14">
        <v>1100</v>
      </c>
      <c r="J14">
        <v>110000</v>
      </c>
      <c r="K14">
        <v>220000</v>
      </c>
      <c r="L14">
        <v>330000</v>
      </c>
      <c r="M14">
        <v>440000</v>
      </c>
      <c r="N14">
        <v>550000</v>
      </c>
      <c r="O14">
        <v>660000</v>
      </c>
      <c r="P14">
        <v>770000</v>
      </c>
      <c r="Q14">
        <v>880000</v>
      </c>
    </row>
    <row r="15" spans="2:17" x14ac:dyDescent="0.3">
      <c r="E15">
        <v>1500</v>
      </c>
      <c r="F15">
        <v>150000</v>
      </c>
      <c r="I15">
        <v>1200</v>
      </c>
      <c r="J15">
        <v>120000</v>
      </c>
      <c r="K15">
        <v>240000</v>
      </c>
      <c r="L15">
        <v>360000</v>
      </c>
      <c r="M15">
        <v>480000</v>
      </c>
      <c r="N15">
        <v>600000</v>
      </c>
      <c r="O15">
        <v>720000</v>
      </c>
      <c r="P15">
        <v>840000</v>
      </c>
      <c r="Q15">
        <v>960000</v>
      </c>
    </row>
    <row r="16" spans="2:17" x14ac:dyDescent="0.3">
      <c r="E16">
        <v>1600</v>
      </c>
      <c r="F16">
        <v>160000</v>
      </c>
      <c r="I16">
        <v>1300</v>
      </c>
      <c r="J16">
        <v>130000</v>
      </c>
      <c r="K16">
        <v>260000</v>
      </c>
      <c r="L16">
        <v>390000</v>
      </c>
      <c r="M16">
        <v>520000</v>
      </c>
      <c r="N16">
        <v>650000</v>
      </c>
      <c r="O16">
        <v>780000</v>
      </c>
      <c r="P16">
        <v>910000</v>
      </c>
      <c r="Q16">
        <v>1040000</v>
      </c>
    </row>
    <row r="17" spans="5:17" x14ac:dyDescent="0.3">
      <c r="E17">
        <v>1700</v>
      </c>
      <c r="F17">
        <v>170000</v>
      </c>
      <c r="I17">
        <v>1400</v>
      </c>
      <c r="J17">
        <v>140000</v>
      </c>
      <c r="K17">
        <v>280000</v>
      </c>
      <c r="L17">
        <v>420000</v>
      </c>
      <c r="M17">
        <v>560000</v>
      </c>
      <c r="N17">
        <v>700000</v>
      </c>
      <c r="O17">
        <v>840000</v>
      </c>
      <c r="P17">
        <v>980000</v>
      </c>
      <c r="Q17">
        <v>1120000</v>
      </c>
    </row>
    <row r="18" spans="5:17" x14ac:dyDescent="0.3">
      <c r="E18">
        <v>1800</v>
      </c>
      <c r="F18">
        <v>180000</v>
      </c>
      <c r="I18">
        <v>1500</v>
      </c>
      <c r="J18">
        <v>150000</v>
      </c>
      <c r="K18">
        <v>300000</v>
      </c>
      <c r="L18">
        <v>450000</v>
      </c>
      <c r="M18">
        <v>600000</v>
      </c>
      <c r="N18">
        <v>750000</v>
      </c>
      <c r="O18">
        <v>900000</v>
      </c>
      <c r="P18">
        <v>1050000</v>
      </c>
      <c r="Q18">
        <v>1200000</v>
      </c>
    </row>
    <row r="19" spans="5:17" x14ac:dyDescent="0.3">
      <c r="I19">
        <v>1600</v>
      </c>
      <c r="J19">
        <v>160000</v>
      </c>
      <c r="K19">
        <v>320000</v>
      </c>
      <c r="L19">
        <v>480000</v>
      </c>
      <c r="M19">
        <v>640000</v>
      </c>
      <c r="N19">
        <v>800000</v>
      </c>
      <c r="O19">
        <v>960000</v>
      </c>
      <c r="P19">
        <v>1120000</v>
      </c>
      <c r="Q19">
        <v>1280000</v>
      </c>
    </row>
    <row r="22" spans="5:17" x14ac:dyDescent="0.3">
      <c r="I22">
        <f>C4*C5*C6</f>
        <v>50000</v>
      </c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  <c r="P22">
        <v>7</v>
      </c>
      <c r="Q22">
        <v>8</v>
      </c>
    </row>
    <row r="23" spans="5:17" x14ac:dyDescent="0.3">
      <c r="I23">
        <v>500</v>
      </c>
      <c r="J23">
        <f t="dataTable" ref="J23:Q33" dt2D="1" dtr="1" r1="C6" r2="C4" ca="1"/>
        <v>50000</v>
      </c>
      <c r="K23">
        <v>100000</v>
      </c>
      <c r="L23">
        <v>150000</v>
      </c>
      <c r="M23">
        <v>200000</v>
      </c>
      <c r="N23">
        <v>250000</v>
      </c>
      <c r="O23">
        <v>300000</v>
      </c>
      <c r="P23">
        <v>350000</v>
      </c>
      <c r="Q23">
        <v>400000</v>
      </c>
    </row>
    <row r="24" spans="5:17" x14ac:dyDescent="0.3">
      <c r="I24">
        <v>600</v>
      </c>
      <c r="J24">
        <v>60000</v>
      </c>
      <c r="K24">
        <v>120000</v>
      </c>
      <c r="L24">
        <v>180000</v>
      </c>
      <c r="M24">
        <v>240000</v>
      </c>
      <c r="N24">
        <v>300000</v>
      </c>
      <c r="O24">
        <v>360000</v>
      </c>
      <c r="P24">
        <v>420000</v>
      </c>
      <c r="Q24">
        <v>480000</v>
      </c>
    </row>
    <row r="25" spans="5:17" x14ac:dyDescent="0.3">
      <c r="I25">
        <v>700</v>
      </c>
      <c r="J25">
        <v>70000</v>
      </c>
      <c r="K25">
        <v>140000</v>
      </c>
      <c r="L25">
        <v>210000</v>
      </c>
      <c r="M25">
        <v>280000</v>
      </c>
      <c r="N25">
        <v>350000</v>
      </c>
      <c r="O25">
        <v>420000</v>
      </c>
      <c r="P25">
        <v>490000</v>
      </c>
      <c r="Q25">
        <v>560000</v>
      </c>
    </row>
    <row r="26" spans="5:17" x14ac:dyDescent="0.3">
      <c r="I26">
        <v>800</v>
      </c>
      <c r="J26">
        <v>80000</v>
      </c>
      <c r="K26">
        <v>160000</v>
      </c>
      <c r="L26">
        <v>240000</v>
      </c>
      <c r="M26">
        <v>320000</v>
      </c>
      <c r="N26">
        <v>400000</v>
      </c>
      <c r="O26">
        <v>480000</v>
      </c>
      <c r="P26">
        <v>560000</v>
      </c>
      <c r="Q26">
        <v>640000</v>
      </c>
    </row>
    <row r="27" spans="5:17" x14ac:dyDescent="0.3">
      <c r="I27">
        <v>900</v>
      </c>
      <c r="J27">
        <v>90000</v>
      </c>
      <c r="K27">
        <v>180000</v>
      </c>
      <c r="L27">
        <v>270000</v>
      </c>
      <c r="M27">
        <v>360000</v>
      </c>
      <c r="N27">
        <v>450000</v>
      </c>
      <c r="O27">
        <v>540000</v>
      </c>
      <c r="P27">
        <v>630000</v>
      </c>
      <c r="Q27">
        <v>720000</v>
      </c>
    </row>
    <row r="28" spans="5:17" x14ac:dyDescent="0.3">
      <c r="I28">
        <v>1000</v>
      </c>
      <c r="J28">
        <v>100000</v>
      </c>
      <c r="K28">
        <v>200000</v>
      </c>
      <c r="L28">
        <v>300000</v>
      </c>
      <c r="M28">
        <v>400000</v>
      </c>
      <c r="N28">
        <v>500000</v>
      </c>
      <c r="O28">
        <v>600000</v>
      </c>
      <c r="P28">
        <v>700000</v>
      </c>
      <c r="Q28">
        <v>800000</v>
      </c>
    </row>
    <row r="29" spans="5:17" x14ac:dyDescent="0.3">
      <c r="I29">
        <v>1100</v>
      </c>
      <c r="J29">
        <v>110000</v>
      </c>
      <c r="K29">
        <v>220000</v>
      </c>
      <c r="L29">
        <v>330000</v>
      </c>
      <c r="M29">
        <v>440000</v>
      </c>
      <c r="N29">
        <v>550000</v>
      </c>
      <c r="O29">
        <v>660000</v>
      </c>
      <c r="P29">
        <v>770000</v>
      </c>
      <c r="Q29">
        <v>880000</v>
      </c>
    </row>
    <row r="30" spans="5:17" x14ac:dyDescent="0.3">
      <c r="I30">
        <v>1200</v>
      </c>
      <c r="J30">
        <v>120000</v>
      </c>
      <c r="K30">
        <v>240000</v>
      </c>
      <c r="L30">
        <v>360000</v>
      </c>
      <c r="M30">
        <v>480000</v>
      </c>
      <c r="N30">
        <v>600000</v>
      </c>
      <c r="O30">
        <v>720000</v>
      </c>
      <c r="P30">
        <v>840000</v>
      </c>
      <c r="Q30">
        <v>960000</v>
      </c>
    </row>
    <row r="31" spans="5:17" x14ac:dyDescent="0.3">
      <c r="I31">
        <v>1300</v>
      </c>
      <c r="J31">
        <v>130000</v>
      </c>
      <c r="K31">
        <v>260000</v>
      </c>
      <c r="L31">
        <v>390000</v>
      </c>
      <c r="M31">
        <v>520000</v>
      </c>
      <c r="N31">
        <v>650000</v>
      </c>
      <c r="O31">
        <v>780000</v>
      </c>
      <c r="P31">
        <v>910000</v>
      </c>
      <c r="Q31">
        <v>1040000</v>
      </c>
    </row>
    <row r="32" spans="5:17" x14ac:dyDescent="0.3">
      <c r="I32">
        <v>1400</v>
      </c>
      <c r="J32">
        <v>140000</v>
      </c>
      <c r="K32">
        <v>280000</v>
      </c>
      <c r="L32">
        <v>420000</v>
      </c>
      <c r="M32">
        <v>560000</v>
      </c>
      <c r="N32">
        <v>700000</v>
      </c>
      <c r="O32">
        <v>840000</v>
      </c>
      <c r="P32">
        <v>980000</v>
      </c>
      <c r="Q32">
        <v>1120000</v>
      </c>
    </row>
    <row r="33" spans="9:17" x14ac:dyDescent="0.3">
      <c r="I33">
        <v>1500</v>
      </c>
      <c r="J33">
        <v>150000</v>
      </c>
      <c r="K33">
        <v>300000</v>
      </c>
      <c r="L33">
        <v>450000</v>
      </c>
      <c r="M33">
        <v>600000</v>
      </c>
      <c r="N33">
        <v>750000</v>
      </c>
      <c r="O33">
        <v>900000</v>
      </c>
      <c r="P33">
        <v>1050000</v>
      </c>
      <c r="Q33">
        <v>1200000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workbookViewId="0">
      <selection sqref="A1:I12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  <row r="13" spans="1:9" x14ac:dyDescent="0.3">
      <c r="A13" s="16">
        <v>43803</v>
      </c>
      <c r="B13" s="11" t="s">
        <v>20</v>
      </c>
      <c r="C13" s="11" t="s">
        <v>35</v>
      </c>
      <c r="D13" s="11" t="s">
        <v>41</v>
      </c>
      <c r="E13" s="11" t="s">
        <v>39</v>
      </c>
      <c r="F13" s="11">
        <v>94</v>
      </c>
      <c r="G13" s="11">
        <v>500</v>
      </c>
      <c r="H13" s="11">
        <v>47000</v>
      </c>
      <c r="I13" s="11" t="s">
        <v>30</v>
      </c>
    </row>
    <row r="14" spans="1:9" x14ac:dyDescent="0.3">
      <c r="A14" s="15">
        <v>43242</v>
      </c>
      <c r="B14" s="9" t="s">
        <v>25</v>
      </c>
      <c r="C14" s="9" t="s">
        <v>31</v>
      </c>
      <c r="D14" s="9" t="s">
        <v>44</v>
      </c>
      <c r="E14" s="9" t="s">
        <v>45</v>
      </c>
      <c r="F14" s="9">
        <v>32</v>
      </c>
      <c r="G14" s="9">
        <v>1198</v>
      </c>
      <c r="H14" s="9">
        <v>38336</v>
      </c>
      <c r="I14" s="10" t="s">
        <v>30</v>
      </c>
    </row>
    <row r="15" spans="1:9" x14ac:dyDescent="0.3">
      <c r="A15" s="16">
        <v>43276</v>
      </c>
      <c r="B15" s="11" t="s">
        <v>20</v>
      </c>
      <c r="C15" s="11" t="s">
        <v>35</v>
      </c>
      <c r="D15" s="11" t="s">
        <v>40</v>
      </c>
      <c r="E15" s="11" t="s">
        <v>45</v>
      </c>
      <c r="F15" s="11">
        <v>90</v>
      </c>
      <c r="G15" s="11">
        <v>1198</v>
      </c>
      <c r="H15" s="11">
        <v>107820</v>
      </c>
      <c r="I15" s="12" t="s">
        <v>30</v>
      </c>
    </row>
    <row r="16" spans="1:9" x14ac:dyDescent="0.3">
      <c r="A16" s="15">
        <v>43327</v>
      </c>
      <c r="B16" s="9" t="s">
        <v>27</v>
      </c>
      <c r="C16" s="9" t="s">
        <v>28</v>
      </c>
      <c r="D16" s="9" t="s">
        <v>34</v>
      </c>
      <c r="E16" s="9" t="s">
        <v>45</v>
      </c>
      <c r="F16" s="9">
        <v>35</v>
      </c>
      <c r="G16" s="9">
        <v>1198</v>
      </c>
      <c r="H16" s="9">
        <v>41930</v>
      </c>
      <c r="I16" s="10" t="s">
        <v>33</v>
      </c>
    </row>
    <row r="17" spans="1:9" x14ac:dyDescent="0.3">
      <c r="A17" s="15">
        <v>43361</v>
      </c>
      <c r="B17" s="9" t="s">
        <v>27</v>
      </c>
      <c r="C17" s="9" t="s">
        <v>28</v>
      </c>
      <c r="D17" s="9" t="s">
        <v>34</v>
      </c>
      <c r="E17" s="9" t="s">
        <v>46</v>
      </c>
      <c r="F17" s="9">
        <v>16</v>
      </c>
      <c r="G17" s="9">
        <v>58.5</v>
      </c>
      <c r="H17" s="9">
        <v>936</v>
      </c>
      <c r="I17" s="10" t="s">
        <v>43</v>
      </c>
    </row>
    <row r="18" spans="1:9" x14ac:dyDescent="0.3">
      <c r="A18" s="15">
        <v>43395</v>
      </c>
      <c r="B18" s="9" t="s">
        <v>27</v>
      </c>
      <c r="C18" s="9" t="s">
        <v>28</v>
      </c>
      <c r="D18" s="9" t="s">
        <v>34</v>
      </c>
      <c r="E18" s="9" t="s">
        <v>23</v>
      </c>
      <c r="F18" s="9">
        <v>64</v>
      </c>
      <c r="G18" s="9">
        <v>225</v>
      </c>
      <c r="H18" s="9">
        <v>14400</v>
      </c>
      <c r="I18" s="10" t="s">
        <v>24</v>
      </c>
    </row>
    <row r="19" spans="1:9" x14ac:dyDescent="0.3">
      <c r="A19" s="16">
        <v>43412</v>
      </c>
      <c r="B19" s="11" t="s">
        <v>27</v>
      </c>
      <c r="C19" s="11" t="s">
        <v>31</v>
      </c>
      <c r="D19" s="11" t="s">
        <v>32</v>
      </c>
      <c r="E19" s="11" t="s">
        <v>23</v>
      </c>
      <c r="F19" s="11">
        <v>15</v>
      </c>
      <c r="G19" s="11">
        <v>225</v>
      </c>
      <c r="H19" s="11">
        <v>3375</v>
      </c>
      <c r="I19" s="12" t="s">
        <v>33</v>
      </c>
    </row>
    <row r="20" spans="1:9" x14ac:dyDescent="0.3">
      <c r="A20" s="15">
        <v>43191</v>
      </c>
      <c r="B20" s="9" t="s">
        <v>27</v>
      </c>
      <c r="C20" s="9" t="s">
        <v>28</v>
      </c>
      <c r="D20" s="9" t="s">
        <v>34</v>
      </c>
      <c r="E20" s="9" t="s">
        <v>39</v>
      </c>
      <c r="F20" s="9">
        <v>60</v>
      </c>
      <c r="G20" s="9">
        <v>500</v>
      </c>
      <c r="H20" s="9">
        <v>30000</v>
      </c>
      <c r="I20" s="9" t="s">
        <v>30</v>
      </c>
    </row>
    <row r="21" spans="1:9" x14ac:dyDescent="0.3">
      <c r="A21" s="16">
        <v>43514</v>
      </c>
      <c r="B21" s="11" t="s">
        <v>27</v>
      </c>
      <c r="C21" s="11" t="s">
        <v>28</v>
      </c>
      <c r="D21" s="11" t="s">
        <v>34</v>
      </c>
      <c r="E21" s="11" t="s">
        <v>39</v>
      </c>
      <c r="F21" s="11">
        <v>4</v>
      </c>
      <c r="G21" s="11">
        <v>500</v>
      </c>
      <c r="H21" s="11">
        <v>2000</v>
      </c>
      <c r="I21" s="11" t="s">
        <v>30</v>
      </c>
    </row>
    <row r="22" spans="1:9" x14ac:dyDescent="0.3">
      <c r="A22" s="15">
        <v>43293</v>
      </c>
      <c r="B22" s="9" t="s">
        <v>27</v>
      </c>
      <c r="C22" s="9" t="s">
        <v>28</v>
      </c>
      <c r="D22" s="9" t="s">
        <v>29</v>
      </c>
      <c r="E22" s="9" t="s">
        <v>39</v>
      </c>
      <c r="F22" s="9">
        <v>29</v>
      </c>
      <c r="G22" s="9">
        <v>500</v>
      </c>
      <c r="H22" s="9">
        <v>14500</v>
      </c>
      <c r="I22" s="9" t="s">
        <v>33</v>
      </c>
    </row>
    <row r="23" spans="1:9" x14ac:dyDescent="0.3">
      <c r="A23" s="16">
        <v>43310</v>
      </c>
      <c r="B23" s="11" t="s">
        <v>27</v>
      </c>
      <c r="C23" s="11" t="s">
        <v>31</v>
      </c>
      <c r="D23" s="11" t="s">
        <v>32</v>
      </c>
      <c r="E23" s="11" t="s">
        <v>39</v>
      </c>
      <c r="F23" s="11">
        <v>81</v>
      </c>
      <c r="G23" s="11">
        <v>500</v>
      </c>
      <c r="H23" s="11">
        <v>40500</v>
      </c>
      <c r="I23" s="11" t="s">
        <v>24</v>
      </c>
    </row>
    <row r="24" spans="1:9" x14ac:dyDescent="0.3">
      <c r="A24" s="15">
        <v>43259</v>
      </c>
      <c r="B24" s="9" t="s">
        <v>27</v>
      </c>
      <c r="C24" s="9" t="s">
        <v>28</v>
      </c>
      <c r="D24" s="9" t="s">
        <v>34</v>
      </c>
      <c r="E24" s="9" t="s">
        <v>39</v>
      </c>
      <c r="F24" s="9">
        <v>60</v>
      </c>
      <c r="G24" s="9">
        <v>500</v>
      </c>
      <c r="H24" s="9">
        <v>30000</v>
      </c>
      <c r="I24" s="9" t="s">
        <v>43</v>
      </c>
    </row>
    <row r="25" spans="1:9" x14ac:dyDescent="0.3">
      <c r="A25" s="15">
        <v>43429</v>
      </c>
      <c r="B25" s="9" t="s">
        <v>20</v>
      </c>
      <c r="C25" s="9" t="s">
        <v>35</v>
      </c>
      <c r="D25" s="9" t="s">
        <v>36</v>
      </c>
      <c r="E25" s="9" t="s">
        <v>46</v>
      </c>
      <c r="F25" s="9">
        <v>96</v>
      </c>
      <c r="G25" s="9">
        <v>58.5</v>
      </c>
      <c r="H25" s="9">
        <v>5616</v>
      </c>
      <c r="I25" s="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sqref="A1:I12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984D-1D26-4E19-9FF1-ADBFC6D4A0A3}">
  <sheetPr>
    <outlinePr summaryBelow="0"/>
  </sheetPr>
  <dimension ref="B1:G12"/>
  <sheetViews>
    <sheetView showGridLines="0" workbookViewId="0">
      <selection activeCell="C9" sqref="C9"/>
    </sheetView>
  </sheetViews>
  <sheetFormatPr defaultRowHeight="14.4" outlineLevelRow="1" outlineLevelCol="1" x14ac:dyDescent="0.3"/>
  <cols>
    <col min="3" max="3" width="6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3" t="s">
        <v>66</v>
      </c>
      <c r="C2" s="33"/>
      <c r="D2" s="38"/>
      <c r="E2" s="38"/>
      <c r="F2" s="38"/>
      <c r="G2" s="38"/>
    </row>
    <row r="3" spans="2:7" ht="15.6" collapsed="1" x14ac:dyDescent="0.3">
      <c r="B3" s="32"/>
      <c r="C3" s="32"/>
      <c r="D3" s="39" t="s">
        <v>68</v>
      </c>
      <c r="E3" s="39" t="s">
        <v>62</v>
      </c>
      <c r="F3" s="39" t="s">
        <v>64</v>
      </c>
      <c r="G3" s="39" t="s">
        <v>65</v>
      </c>
    </row>
    <row r="4" spans="2:7" ht="20.399999999999999" hidden="1" outlineLevel="1" x14ac:dyDescent="0.3">
      <c r="B4" s="35"/>
      <c r="C4" s="35"/>
      <c r="D4" s="30"/>
      <c r="E4" s="41" t="s">
        <v>63</v>
      </c>
      <c r="F4" s="41" t="s">
        <v>63</v>
      </c>
      <c r="G4" s="41" t="s">
        <v>63</v>
      </c>
    </row>
    <row r="5" spans="2:7" x14ac:dyDescent="0.3">
      <c r="B5" s="36" t="s">
        <v>67</v>
      </c>
      <c r="C5" s="36"/>
      <c r="D5" s="34"/>
      <c r="E5" s="34"/>
      <c r="F5" s="34"/>
      <c r="G5" s="34"/>
    </row>
    <row r="6" spans="2:7" outlineLevel="1" x14ac:dyDescent="0.3">
      <c r="B6" s="35"/>
      <c r="C6" s="35" t="s">
        <v>59</v>
      </c>
      <c r="D6" s="30">
        <v>500</v>
      </c>
      <c r="E6" s="40">
        <v>700</v>
      </c>
      <c r="F6" s="40">
        <v>900</v>
      </c>
      <c r="G6" s="40">
        <v>1200</v>
      </c>
    </row>
    <row r="7" spans="2:7" x14ac:dyDescent="0.3">
      <c r="B7" s="36" t="s">
        <v>69</v>
      </c>
      <c r="C7" s="36"/>
      <c r="D7" s="34"/>
      <c r="E7" s="34"/>
      <c r="F7" s="34"/>
      <c r="G7" s="34"/>
    </row>
    <row r="8" spans="2:7" outlineLevel="1" x14ac:dyDescent="0.3">
      <c r="B8" s="35"/>
      <c r="C8" s="35" t="s">
        <v>60</v>
      </c>
      <c r="D8" s="30">
        <v>350000</v>
      </c>
      <c r="E8" s="30">
        <v>490000</v>
      </c>
      <c r="F8" s="30">
        <v>630000</v>
      </c>
      <c r="G8" s="30">
        <v>840000</v>
      </c>
    </row>
    <row r="9" spans="2:7" ht="15" outlineLevel="1" thickBot="1" x14ac:dyDescent="0.35">
      <c r="B9" s="37"/>
      <c r="C9" s="37" t="s">
        <v>61</v>
      </c>
      <c r="D9" s="31">
        <v>70000</v>
      </c>
      <c r="E9" s="31">
        <v>98000</v>
      </c>
      <c r="F9" s="31">
        <v>126000</v>
      </c>
      <c r="G9" s="31">
        <v>168000</v>
      </c>
    </row>
    <row r="10" spans="2:7" x14ac:dyDescent="0.3">
      <c r="B10" t="s">
        <v>70</v>
      </c>
    </row>
    <row r="11" spans="2:7" x14ac:dyDescent="0.3">
      <c r="B11" t="s">
        <v>71</v>
      </c>
    </row>
    <row r="12" spans="2:7" x14ac:dyDescent="0.3">
      <c r="B12" t="s">
        <v>72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0A4A-6E92-4A0C-882D-2091650F5A61}">
  <sheetPr>
    <outlinePr summaryBelow="0"/>
  </sheetPr>
  <dimension ref="B1:G12"/>
  <sheetViews>
    <sheetView showGridLines="0" tabSelected="1" zoomScale="130" zoomScaleNormal="130" workbookViewId="0">
      <selection activeCell="F12" sqref="F12"/>
    </sheetView>
  </sheetViews>
  <sheetFormatPr defaultRowHeight="14.4" outlineLevelRow="1" outlineLevelCol="1" x14ac:dyDescent="0.3"/>
  <cols>
    <col min="3" max="3" width="12.5546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3" t="s">
        <v>66</v>
      </c>
      <c r="C2" s="33"/>
      <c r="D2" s="38"/>
      <c r="E2" s="38"/>
      <c r="F2" s="38"/>
      <c r="G2" s="38"/>
    </row>
    <row r="3" spans="2:7" ht="15.6" collapsed="1" x14ac:dyDescent="0.3">
      <c r="B3" s="32"/>
      <c r="C3" s="32"/>
      <c r="D3" s="39" t="s">
        <v>68</v>
      </c>
      <c r="E3" s="39" t="s">
        <v>62</v>
      </c>
      <c r="F3" s="39" t="s">
        <v>64</v>
      </c>
      <c r="G3" s="39" t="s">
        <v>65</v>
      </c>
    </row>
    <row r="4" spans="2:7" ht="20.399999999999999" hidden="1" outlineLevel="1" x14ac:dyDescent="0.3">
      <c r="B4" s="35"/>
      <c r="C4" s="35"/>
      <c r="D4" s="30"/>
      <c r="E4" s="41" t="s">
        <v>63</v>
      </c>
      <c r="F4" s="41" t="s">
        <v>63</v>
      </c>
      <c r="G4" s="41" t="s">
        <v>63</v>
      </c>
    </row>
    <row r="5" spans="2:7" x14ac:dyDescent="0.3">
      <c r="B5" s="36" t="s">
        <v>67</v>
      </c>
      <c r="C5" s="36"/>
      <c r="D5" s="34"/>
      <c r="E5" s="34"/>
      <c r="F5" s="34"/>
      <c r="G5" s="34"/>
    </row>
    <row r="6" spans="2:7" outlineLevel="1" x14ac:dyDescent="0.3">
      <c r="B6" s="35"/>
      <c r="C6" s="35" t="s">
        <v>73</v>
      </c>
      <c r="D6" s="30">
        <v>500</v>
      </c>
      <c r="E6" s="40">
        <v>700</v>
      </c>
      <c r="F6" s="40">
        <v>900</v>
      </c>
      <c r="G6" s="40">
        <v>1200</v>
      </c>
    </row>
    <row r="7" spans="2:7" x14ac:dyDescent="0.3">
      <c r="B7" s="36" t="s">
        <v>69</v>
      </c>
      <c r="C7" s="36"/>
      <c r="D7" s="34"/>
      <c r="E7" s="34"/>
      <c r="F7" s="34"/>
      <c r="G7" s="34"/>
    </row>
    <row r="8" spans="2:7" outlineLevel="1" x14ac:dyDescent="0.3">
      <c r="B8" s="35"/>
      <c r="C8" s="35" t="s">
        <v>74</v>
      </c>
      <c r="D8" s="30">
        <v>350000</v>
      </c>
      <c r="E8" s="30">
        <v>490000</v>
      </c>
      <c r="F8" s="30">
        <v>630000</v>
      </c>
      <c r="G8" s="30">
        <v>840000</v>
      </c>
    </row>
    <row r="9" spans="2:7" ht="15" outlineLevel="1" thickBot="1" x14ac:dyDescent="0.35">
      <c r="B9" s="37"/>
      <c r="C9" s="37" t="s">
        <v>75</v>
      </c>
      <c r="D9" s="31">
        <v>70000</v>
      </c>
      <c r="E9" s="31">
        <v>98000</v>
      </c>
      <c r="F9" s="31">
        <v>126000</v>
      </c>
      <c r="G9" s="31">
        <v>168000</v>
      </c>
    </row>
    <row r="10" spans="2:7" x14ac:dyDescent="0.3">
      <c r="B10" t="s">
        <v>70</v>
      </c>
    </row>
    <row r="11" spans="2:7" x14ac:dyDescent="0.3">
      <c r="B11" t="s">
        <v>71</v>
      </c>
    </row>
    <row r="12" spans="2:7" x14ac:dyDescent="0.3">
      <c r="B12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F9F2-D5D1-4B77-AEC7-2F012EA9221E}">
  <dimension ref="A7:G64"/>
  <sheetViews>
    <sheetView topLeftCell="A4" zoomScale="130" zoomScaleNormal="130" workbookViewId="0">
      <selection activeCell="I13" sqref="I13"/>
    </sheetView>
  </sheetViews>
  <sheetFormatPr defaultRowHeight="14.4" x14ac:dyDescent="0.3"/>
  <cols>
    <col min="1" max="1" width="9.77734375" customWidth="1"/>
    <col min="2" max="2" width="6.6640625" customWidth="1"/>
    <col min="6" max="6" width="16.88671875" bestFit="1" customWidth="1"/>
  </cols>
  <sheetData>
    <row r="7" spans="6:7" x14ac:dyDescent="0.3">
      <c r="F7" s="28" t="s">
        <v>54</v>
      </c>
      <c r="G7" s="29">
        <v>500</v>
      </c>
    </row>
    <row r="8" spans="6:7" x14ac:dyDescent="0.3">
      <c r="F8" s="28" t="s">
        <v>55</v>
      </c>
      <c r="G8" s="29">
        <v>700</v>
      </c>
    </row>
    <row r="9" spans="6:7" x14ac:dyDescent="0.3">
      <c r="F9" s="28" t="s">
        <v>56</v>
      </c>
      <c r="G9" s="29">
        <v>140</v>
      </c>
    </row>
    <row r="10" spans="6:7" x14ac:dyDescent="0.3">
      <c r="F10" s="28" t="s">
        <v>3</v>
      </c>
      <c r="G10" s="29">
        <v>1</v>
      </c>
    </row>
    <row r="12" spans="6:7" x14ac:dyDescent="0.3">
      <c r="F12" s="28" t="s">
        <v>57</v>
      </c>
      <c r="G12" s="29">
        <f>G7*G8</f>
        <v>350000</v>
      </c>
    </row>
    <row r="13" spans="6:7" x14ac:dyDescent="0.3">
      <c r="F13" s="28" t="s">
        <v>58</v>
      </c>
      <c r="G13" s="29">
        <f>G7*G9</f>
        <v>70000</v>
      </c>
    </row>
    <row r="64" spans="1:1" x14ac:dyDescent="0.3">
      <c r="A64" s="27"/>
    </row>
  </sheetData>
  <scenarios current="0" sqref="G12 G13">
    <scenario name="700 Sales" locked="1" count="1" user="pc" comment="Created by pc on 27-01-2026">
      <inputCells r="G7" val="700"/>
    </scenario>
    <scenario name="900 Sales" locked="1" count="1" user="pc" comment="Created by pc on 27-01-2026">
      <inputCells r="G7" val="900"/>
    </scenario>
    <scenario name="1200 Sales" locked="1" count="1" user="pc" comment="Created by pc on 27-01-2026">
      <inputCells r="G7" val="1200"/>
    </scenario>
  </scenarios>
  <dataConsolidate topLabels="1" link="1">
    <dataRefs count="3">
      <dataRef ref="A1:I25" sheet="Sheet5"/>
      <dataRef ref="A1:I12" sheet="Sheet6"/>
      <dataRef ref="A1:J285" sheet="Sheet7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Practice Date Formule</vt:lpstr>
      <vt:lpstr>Sheet3</vt:lpstr>
      <vt:lpstr>Some Advance Maths</vt:lpstr>
      <vt:lpstr>Sheet4</vt:lpstr>
      <vt:lpstr>Sheet5</vt:lpstr>
      <vt:lpstr>Sheet6</vt:lpstr>
      <vt:lpstr>Scenario Summary</vt:lpstr>
      <vt:lpstr>Scenario Summary 2</vt:lpstr>
      <vt:lpstr>Sheet7</vt:lpstr>
      <vt:lpstr>ProductUnit</vt:lpstr>
      <vt:lpstr>Total_Income</vt:lpstr>
      <vt:lpstr>Total_Profit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2026-01-27T05:52:50Z</dcterms:modified>
</cp:coreProperties>
</file>