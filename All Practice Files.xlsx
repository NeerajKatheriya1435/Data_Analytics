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D02BA023-3DB7-4B50-B3A1-1C6D77A30345}" xr6:coauthVersionLast="36" xr6:coauthVersionMax="36" xr10:uidLastSave="{00000000-0000-0000-0000-000000000000}"/>
  <bookViews>
    <workbookView xWindow="0" yWindow="0" windowWidth="22260" windowHeight="12648" tabRatio="797" activeTab="6" xr2:uid="{00000000-000D-0000-FFFF-FFFF00000000}"/>
  </bookViews>
  <sheets>
    <sheet name="Day 1 Practice" sheetId="1" r:id="rId1"/>
    <sheet name="Sheet1" sheetId="7" r:id="rId2"/>
    <sheet name="Day 2 Practice" sheetId="3" r:id="rId3"/>
    <sheet name="Day 3 Pratice" sheetId="2" r:id="rId4"/>
    <sheet name="Practice Maths Formule" sheetId="4" r:id="rId5"/>
    <sheet name="Practice Text Formule" sheetId="5" r:id="rId6"/>
    <sheet name="Practice Logical Formule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8" i="3" l="1"/>
  <c r="C79" i="3"/>
  <c r="C74" i="3"/>
  <c r="C69" i="3"/>
  <c r="C64" i="3"/>
  <c r="C59" i="3"/>
  <c r="C54" i="3"/>
  <c r="C49" i="3"/>
  <c r="C47" i="3"/>
  <c r="C42" i="3"/>
  <c r="C37" i="3"/>
  <c r="C32" i="3"/>
  <c r="C27" i="3"/>
  <c r="C22" i="3"/>
  <c r="C17" i="3"/>
  <c r="C89" i="3" l="1"/>
  <c r="I3" i="6"/>
  <c r="I4" i="6"/>
  <c r="I5" i="6"/>
  <c r="I6" i="6"/>
  <c r="I7" i="6"/>
  <c r="I8" i="6"/>
  <c r="I9" i="6"/>
  <c r="I10" i="6"/>
  <c r="I2" i="6"/>
  <c r="H3" i="6"/>
  <c r="H4" i="6"/>
  <c r="H5" i="6"/>
  <c r="H6" i="6"/>
  <c r="H7" i="6"/>
  <c r="H8" i="6"/>
  <c r="H9" i="6"/>
  <c r="H10" i="6"/>
  <c r="H2" i="6"/>
  <c r="G3" i="6"/>
  <c r="G4" i="6"/>
  <c r="G5" i="6"/>
  <c r="G6" i="6"/>
  <c r="G7" i="6"/>
  <c r="G8" i="6"/>
  <c r="G9" i="6"/>
  <c r="G10" i="6"/>
  <c r="G2" i="6"/>
  <c r="F3" i="6"/>
  <c r="F5" i="6"/>
  <c r="F6" i="6"/>
  <c r="F7" i="6"/>
  <c r="F9" i="6"/>
  <c r="F10" i="6"/>
  <c r="F2" i="6"/>
  <c r="E3" i="6"/>
  <c r="E4" i="6"/>
  <c r="F4" i="6" s="1"/>
  <c r="E5" i="6"/>
  <c r="E6" i="6"/>
  <c r="E7" i="6"/>
  <c r="E8" i="6"/>
  <c r="F8" i="6" s="1"/>
  <c r="E9" i="6"/>
  <c r="E10" i="6"/>
  <c r="E2" i="6"/>
  <c r="L14" i="5"/>
  <c r="P2" i="5"/>
  <c r="M2" i="5"/>
  <c r="O3" i="5"/>
  <c r="O4" i="5"/>
  <c r="O5" i="5"/>
  <c r="O6" i="5"/>
  <c r="O7" i="5"/>
  <c r="O8" i="5"/>
  <c r="O9" i="5"/>
  <c r="O10" i="5"/>
  <c r="O2" i="5"/>
  <c r="L2" i="5"/>
  <c r="K2" i="5"/>
  <c r="G3" i="5"/>
  <c r="G4" i="5"/>
  <c r="G5" i="5"/>
  <c r="G6" i="5"/>
  <c r="G7" i="5"/>
  <c r="G8" i="5"/>
  <c r="G9" i="5"/>
  <c r="G10" i="5"/>
  <c r="G2" i="5"/>
  <c r="F3" i="5"/>
  <c r="F4" i="5"/>
  <c r="F5" i="5"/>
  <c r="F6" i="5"/>
  <c r="F7" i="5"/>
  <c r="F8" i="5"/>
  <c r="F9" i="5"/>
  <c r="F10" i="5"/>
  <c r="F2" i="5"/>
  <c r="E3" i="5"/>
  <c r="E4" i="5"/>
  <c r="E5" i="5"/>
  <c r="E6" i="5"/>
  <c r="E7" i="5"/>
  <c r="E8" i="5"/>
  <c r="E9" i="5"/>
  <c r="E10" i="5"/>
  <c r="E2" i="5"/>
  <c r="J3" i="5"/>
  <c r="J4" i="5"/>
  <c r="J5" i="5"/>
  <c r="J6" i="5"/>
  <c r="J7" i="5"/>
  <c r="J8" i="5"/>
  <c r="J9" i="5"/>
  <c r="J10" i="5"/>
  <c r="I3" i="5"/>
  <c r="I4" i="5"/>
  <c r="I5" i="5"/>
  <c r="I6" i="5"/>
  <c r="I7" i="5"/>
  <c r="I8" i="5"/>
  <c r="I9" i="5"/>
  <c r="I10" i="5"/>
  <c r="H3" i="5"/>
  <c r="H4" i="5"/>
  <c r="H5" i="5"/>
  <c r="H6" i="5"/>
  <c r="H7" i="5"/>
  <c r="H8" i="5"/>
  <c r="H9" i="5"/>
  <c r="H10" i="5"/>
  <c r="J2" i="5"/>
  <c r="I2" i="5"/>
  <c r="H2" i="5"/>
  <c r="D3" i="5"/>
  <c r="D4" i="5"/>
  <c r="D5" i="5"/>
  <c r="D6" i="5"/>
  <c r="D7" i="5"/>
  <c r="D8" i="5"/>
  <c r="D9" i="5"/>
  <c r="D10" i="5"/>
  <c r="D2" i="5"/>
  <c r="K4" i="4"/>
  <c r="I9" i="4"/>
  <c r="I7" i="4"/>
  <c r="I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" i="4"/>
  <c r="C15" i="4"/>
  <c r="C16" i="4"/>
  <c r="C17" i="4"/>
  <c r="C18" i="4"/>
  <c r="C19" i="4"/>
  <c r="C20" i="4"/>
  <c r="C21" i="4"/>
  <c r="C22" i="4"/>
  <c r="C23" i="4"/>
  <c r="C4" i="4"/>
  <c r="C5" i="4"/>
  <c r="C6" i="4"/>
  <c r="C7" i="4"/>
  <c r="C8" i="4"/>
  <c r="C9" i="4"/>
  <c r="C10" i="4"/>
  <c r="C11" i="4"/>
  <c r="C12" i="4"/>
  <c r="C13" i="4"/>
  <c r="C14" i="4"/>
  <c r="C3" i="4"/>
  <c r="C2" i="4"/>
  <c r="G4" i="3" l="1"/>
  <c r="G8" i="3"/>
  <c r="G2" i="3"/>
  <c r="G5" i="3"/>
  <c r="G7" i="3"/>
  <c r="G3" i="3"/>
  <c r="G6" i="3"/>
  <c r="L7" i="1"/>
  <c r="L8" i="1"/>
  <c r="L9" i="1"/>
  <c r="L10" i="1"/>
  <c r="L11" i="1"/>
  <c r="L12" i="1"/>
  <c r="L13" i="1"/>
  <c r="L14" i="1"/>
  <c r="L15" i="1"/>
  <c r="L16" i="1"/>
  <c r="L6" i="1"/>
</calcChain>
</file>

<file path=xl/sharedStrings.xml><?xml version="1.0" encoding="utf-8"?>
<sst xmlns="http://schemas.openxmlformats.org/spreadsheetml/2006/main" count="812" uniqueCount="319">
  <si>
    <t>Sr No.</t>
  </si>
  <si>
    <t>Date</t>
  </si>
  <si>
    <t>Full Name</t>
  </si>
  <si>
    <t>First Name</t>
  </si>
  <si>
    <t>Last Name</t>
  </si>
  <si>
    <t>1st Jan 2022</t>
  </si>
  <si>
    <t>JON YANG</t>
  </si>
  <si>
    <t>JON</t>
  </si>
  <si>
    <t>YANG</t>
  </si>
  <si>
    <t>EUGENE HUANG</t>
  </si>
  <si>
    <t>EUGENE</t>
  </si>
  <si>
    <t>HUANG</t>
  </si>
  <si>
    <t>3st Jan 2022</t>
  </si>
  <si>
    <t>RUBEN TORRES</t>
  </si>
  <si>
    <t>RUBEN</t>
  </si>
  <si>
    <t>TORRES</t>
  </si>
  <si>
    <t>4st Jan 2022</t>
  </si>
  <si>
    <t>CHRISTY ZHU</t>
  </si>
  <si>
    <t>CHRISTY</t>
  </si>
  <si>
    <t>ZHU</t>
  </si>
  <si>
    <t>5st Jan 2022</t>
  </si>
  <si>
    <t>ELIZABETH JOHNSON</t>
  </si>
  <si>
    <t>ELIZABETH</t>
  </si>
  <si>
    <t>JOHNSON</t>
  </si>
  <si>
    <t>6st Jan 2022</t>
  </si>
  <si>
    <t>JULIO RUIZ</t>
  </si>
  <si>
    <t>JULIO</t>
  </si>
  <si>
    <t>RUIZ</t>
  </si>
  <si>
    <t>7st Jan 2022</t>
  </si>
  <si>
    <t>MARCO MEHTA</t>
  </si>
  <si>
    <t>MARCO</t>
  </si>
  <si>
    <t>MEHTA</t>
  </si>
  <si>
    <t>8st Jan 2022</t>
  </si>
  <si>
    <t>ROBIN VERHOFF</t>
  </si>
  <si>
    <t>ROBIN</t>
  </si>
  <si>
    <t>VERHOFF</t>
  </si>
  <si>
    <t>9st Jan 2022</t>
  </si>
  <si>
    <t>SHANNON CARLSON</t>
  </si>
  <si>
    <t>SHANNON</t>
  </si>
  <si>
    <t>CARLSON</t>
  </si>
  <si>
    <t>10st Jan 2022</t>
  </si>
  <si>
    <t>JACQUELYN SUAREZ</t>
  </si>
  <si>
    <t>JACQUELYN</t>
  </si>
  <si>
    <t>SUAREZ</t>
  </si>
  <si>
    <t>11st Jan 2022</t>
  </si>
  <si>
    <t>CURTIS LU</t>
  </si>
  <si>
    <t>CURTIS</t>
  </si>
  <si>
    <t>LU</t>
  </si>
  <si>
    <t>12st Jan 2022</t>
  </si>
  <si>
    <t>LAUREN WALKER</t>
  </si>
  <si>
    <t>LAUREN</t>
  </si>
  <si>
    <t>WALKER</t>
  </si>
  <si>
    <t>13st Jan 2022</t>
  </si>
  <si>
    <t>IAN JENKINS</t>
  </si>
  <si>
    <t>IAN</t>
  </si>
  <si>
    <t>JENKINS</t>
  </si>
  <si>
    <t>14st Jan 2022</t>
  </si>
  <si>
    <t>SYDNEY BENNETT</t>
  </si>
  <si>
    <t>SYDNEY</t>
  </si>
  <si>
    <t>BENNETT</t>
  </si>
  <si>
    <t>15st Jan 2022</t>
  </si>
  <si>
    <t>CHLOE YOUNG</t>
  </si>
  <si>
    <t>CHLOE</t>
  </si>
  <si>
    <t>YOUNG</t>
  </si>
  <si>
    <t>16st Jan 2022</t>
  </si>
  <si>
    <t>WYATT HILL</t>
  </si>
  <si>
    <t>WYATT</t>
  </si>
  <si>
    <t>HILL</t>
  </si>
  <si>
    <t>17st Jan 2022</t>
  </si>
  <si>
    <t>SHANNON WANG</t>
  </si>
  <si>
    <t>WANG</t>
  </si>
  <si>
    <t>18st Jan 2022</t>
  </si>
  <si>
    <t>CLARENCE RAI</t>
  </si>
  <si>
    <t>CLARENCE</t>
  </si>
  <si>
    <t>RAI</t>
  </si>
  <si>
    <t>19st Jan 2022</t>
  </si>
  <si>
    <t>LUKE LAL</t>
  </si>
  <si>
    <t>LUKE</t>
  </si>
  <si>
    <t>LAL</t>
  </si>
  <si>
    <t>20st Jan 2022</t>
  </si>
  <si>
    <t>JORDAN KING</t>
  </si>
  <si>
    <t>JORDAN</t>
  </si>
  <si>
    <t>KING</t>
  </si>
  <si>
    <t>21st Jan 2022</t>
  </si>
  <si>
    <t>DESTINY WILSON</t>
  </si>
  <si>
    <t>DESTINY</t>
  </si>
  <si>
    <t>WILSON</t>
  </si>
  <si>
    <t>22st Jan 2022</t>
  </si>
  <si>
    <t>ETHAN ZHANG</t>
  </si>
  <si>
    <t>ETHAN</t>
  </si>
  <si>
    <t>ZHANG</t>
  </si>
  <si>
    <t>23st Jan 2022</t>
  </si>
  <si>
    <t>SETH EDWARDS</t>
  </si>
  <si>
    <t>SETH</t>
  </si>
  <si>
    <t>EDWARDS</t>
  </si>
  <si>
    <t>24st Jan 2022</t>
  </si>
  <si>
    <t>RUSSELL XIE</t>
  </si>
  <si>
    <t>RUSSELL</t>
  </si>
  <si>
    <t>XIE</t>
  </si>
  <si>
    <t>25st Jan 2022</t>
  </si>
  <si>
    <t>ALEJANDRO BECK</t>
  </si>
  <si>
    <t>ALEJANDRO</t>
  </si>
  <si>
    <t>BECK</t>
  </si>
  <si>
    <t>26st Jan 2022</t>
  </si>
  <si>
    <t>HAROLD SAI</t>
  </si>
  <si>
    <t>HAROLD</t>
  </si>
  <si>
    <t>SAI</t>
  </si>
  <si>
    <t>27st Jan 2022</t>
  </si>
  <si>
    <t>JESSIE ZHAO</t>
  </si>
  <si>
    <t>JESSIE</t>
  </si>
  <si>
    <t>ZHAO</t>
  </si>
  <si>
    <t>28st Jan 2022</t>
  </si>
  <si>
    <t>JILL JIMENEZ</t>
  </si>
  <si>
    <t>JILL</t>
  </si>
  <si>
    <t>JIMENEZ</t>
  </si>
  <si>
    <t>29st Jan 2022</t>
  </si>
  <si>
    <t>JIMMY MORENO</t>
  </si>
  <si>
    <t>JIMMY</t>
  </si>
  <si>
    <t>MORENO</t>
  </si>
  <si>
    <t>30st Jan 2022</t>
  </si>
  <si>
    <t>BETHANY YUAN</t>
  </si>
  <si>
    <t>BETHANY</t>
  </si>
  <si>
    <t>YUAN</t>
  </si>
  <si>
    <t>31st Jan 2022</t>
  </si>
  <si>
    <t>THERESA RAMOS</t>
  </si>
  <si>
    <t>THERESA</t>
  </si>
  <si>
    <t>RAMOS</t>
  </si>
  <si>
    <t>32st Jan 2022</t>
  </si>
  <si>
    <t>DENISE STONE</t>
  </si>
  <si>
    <t>DENISE</t>
  </si>
  <si>
    <t>STONE</t>
  </si>
  <si>
    <t>33st Jan 2022</t>
  </si>
  <si>
    <t>JAIME NATH</t>
  </si>
  <si>
    <t>JAIME</t>
  </si>
  <si>
    <t>NATH</t>
  </si>
  <si>
    <t>34st Jan 2022</t>
  </si>
  <si>
    <t>EBONY GONZALEZ</t>
  </si>
  <si>
    <t>EBONY</t>
  </si>
  <si>
    <t>GONZALEZ</t>
  </si>
  <si>
    <t>35st Jan 2022</t>
  </si>
  <si>
    <t>WENDY DOMINGUEZ</t>
  </si>
  <si>
    <t>WENDY</t>
  </si>
  <si>
    <t>DOMINGUEZ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</si>
  <si>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</si>
  <si>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</si>
  <si>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</si>
  <si>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</si>
  <si>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</si>
  <si>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</si>
  <si>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</si>
  <si>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</si>
  <si>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</si>
  <si>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</si>
  <si>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Hermann</t>
  </si>
  <si>
    <t>Shelli</t>
  </si>
  <si>
    <t>Home Theater</t>
  </si>
  <si>
    <t>CASH</t>
  </si>
  <si>
    <t>Sigal</t>
  </si>
  <si>
    <t>Television</t>
  </si>
  <si>
    <t>Timothy</t>
  </si>
  <si>
    <t>David</t>
  </si>
  <si>
    <t>Luis</t>
  </si>
  <si>
    <t>East</t>
  </si>
  <si>
    <t>Martha</t>
  </si>
  <si>
    <t>Alexander</t>
  </si>
  <si>
    <t>Diana</t>
  </si>
  <si>
    <t>Cell Phone</t>
  </si>
  <si>
    <t>Video Games</t>
  </si>
  <si>
    <t>West</t>
  </si>
  <si>
    <t>Douglas</t>
  </si>
  <si>
    <t>Michael</t>
  </si>
  <si>
    <t>Stephen</t>
  </si>
  <si>
    <t>Desk</t>
  </si>
  <si>
    <t>DEBIT CARD</t>
  </si>
  <si>
    <t>Steven</t>
  </si>
  <si>
    <t>John</t>
  </si>
  <si>
    <t>Karen</t>
  </si>
  <si>
    <t>NET BANKING</t>
  </si>
  <si>
    <t>UPI</t>
  </si>
  <si>
    <t>Student's Name</t>
  </si>
  <si>
    <t>English</t>
  </si>
  <si>
    <t>Hindi</t>
  </si>
  <si>
    <t>Math</t>
  </si>
  <si>
    <t>Science</t>
  </si>
  <si>
    <t>S.S.T</t>
  </si>
  <si>
    <t>Rajesh</t>
  </si>
  <si>
    <t>Mahesh</t>
  </si>
  <si>
    <t>Suresh</t>
  </si>
  <si>
    <t>Harsh</t>
  </si>
  <si>
    <t>Nishant</t>
  </si>
  <si>
    <t>Rohan</t>
  </si>
  <si>
    <t>Staff</t>
  </si>
  <si>
    <t>Department</t>
  </si>
  <si>
    <t>Sales</t>
  </si>
  <si>
    <t>Grocery</t>
  </si>
  <si>
    <t>Garments</t>
  </si>
  <si>
    <t>Nitin</t>
  </si>
  <si>
    <t>Sonu</t>
  </si>
  <si>
    <t>Monu</t>
  </si>
  <si>
    <t>Dharmesh</t>
  </si>
  <si>
    <t>Bhuwan</t>
  </si>
  <si>
    <t>Kabir</t>
  </si>
  <si>
    <t>Nikumbh</t>
  </si>
  <si>
    <t>Jayprakash</t>
  </si>
  <si>
    <t>Shivam</t>
  </si>
  <si>
    <t>Number 1</t>
  </si>
  <si>
    <t>Number 2</t>
  </si>
  <si>
    <t>Sum</t>
  </si>
  <si>
    <t>Multilication</t>
  </si>
  <si>
    <t>Division</t>
  </si>
  <si>
    <t>Subtarction</t>
  </si>
  <si>
    <t>Square</t>
  </si>
  <si>
    <t>Cube</t>
  </si>
  <si>
    <t>Min</t>
  </si>
  <si>
    <t>Max</t>
  </si>
  <si>
    <t>Average</t>
  </si>
  <si>
    <t>Prefix</t>
  </si>
  <si>
    <t>Concat</t>
  </si>
  <si>
    <t>Left</t>
  </si>
  <si>
    <t>Right</t>
  </si>
  <si>
    <t>Mid</t>
  </si>
  <si>
    <t>Upper</t>
  </si>
  <si>
    <t>Lower</t>
  </si>
  <si>
    <t>Proper</t>
  </si>
  <si>
    <t>Find</t>
  </si>
  <si>
    <t>Search</t>
  </si>
  <si>
    <t>Substitute</t>
  </si>
  <si>
    <t>Text</t>
  </si>
  <si>
    <t>Length</t>
  </si>
  <si>
    <t>Replace</t>
  </si>
  <si>
    <t>Mr</t>
  </si>
  <si>
    <t>Shubham</t>
  </si>
  <si>
    <t>Kumar</t>
  </si>
  <si>
    <t>Mrs.</t>
  </si>
  <si>
    <t>Ram</t>
  </si>
  <si>
    <t>Sahu</t>
  </si>
  <si>
    <t>Mohan</t>
  </si>
  <si>
    <t>Pandey</t>
  </si>
  <si>
    <t>Geeta</t>
  </si>
  <si>
    <t>Kumari</t>
  </si>
  <si>
    <t>Susheela</t>
  </si>
  <si>
    <t>Diwakar</t>
  </si>
  <si>
    <t>Muskan</t>
  </si>
  <si>
    <t>Tiwari</t>
  </si>
  <si>
    <t>Pal</t>
  </si>
  <si>
    <t>Cena</t>
  </si>
  <si>
    <t>Peter</t>
  </si>
  <si>
    <t>Parker</t>
  </si>
  <si>
    <t>Name</t>
  </si>
  <si>
    <t>Maths</t>
  </si>
  <si>
    <t>Physics</t>
  </si>
  <si>
    <t>Total</t>
  </si>
  <si>
    <t>Result1 (Total)</t>
  </si>
  <si>
    <t>Result2 (AND)</t>
  </si>
  <si>
    <t>Result3 (OR)</t>
  </si>
  <si>
    <t>Percentage</t>
  </si>
  <si>
    <t>2nd Jan 2022</t>
  </si>
  <si>
    <t>1st</t>
  </si>
  <si>
    <t>2nd</t>
  </si>
  <si>
    <t>3st</t>
  </si>
  <si>
    <t>4st</t>
  </si>
  <si>
    <t>5st</t>
  </si>
  <si>
    <t>6st</t>
  </si>
  <si>
    <t>7st</t>
  </si>
  <si>
    <t>8st</t>
  </si>
  <si>
    <t>9st</t>
  </si>
  <si>
    <t>10st</t>
  </si>
  <si>
    <t>11st</t>
  </si>
  <si>
    <t>12st</t>
  </si>
  <si>
    <t>13st</t>
  </si>
  <si>
    <t>14st</t>
  </si>
  <si>
    <t>15st</t>
  </si>
  <si>
    <t>16st</t>
  </si>
  <si>
    <t>17st</t>
  </si>
  <si>
    <t>18st</t>
  </si>
  <si>
    <t>19st</t>
  </si>
  <si>
    <t>20st</t>
  </si>
  <si>
    <t>21st</t>
  </si>
  <si>
    <t>22st</t>
  </si>
  <si>
    <t>23st</t>
  </si>
  <si>
    <t>24st</t>
  </si>
  <si>
    <t>25st</t>
  </si>
  <si>
    <t>26st</t>
  </si>
  <si>
    <t>27st</t>
  </si>
  <si>
    <t>28st</t>
  </si>
  <si>
    <t>29st</t>
  </si>
  <si>
    <t>30st</t>
  </si>
  <si>
    <t>31st</t>
  </si>
  <si>
    <t>32st</t>
  </si>
  <si>
    <t>33st</t>
  </si>
  <si>
    <t>34st</t>
  </si>
  <si>
    <t>35st</t>
  </si>
  <si>
    <t>1*1</t>
  </si>
  <si>
    <t>2*2</t>
  </si>
  <si>
    <t>3*3</t>
  </si>
  <si>
    <t>4*4</t>
  </si>
  <si>
    <t>5*5</t>
  </si>
  <si>
    <t>6*6</t>
  </si>
  <si>
    <t>7*7</t>
  </si>
  <si>
    <t>8*8</t>
  </si>
  <si>
    <t>9*9</t>
  </si>
  <si>
    <t>10*10</t>
  </si>
  <si>
    <t>11*11</t>
  </si>
  <si>
    <t>Indian</t>
  </si>
  <si>
    <t>fchvjj</t>
  </si>
  <si>
    <t>Bhuwan Total</t>
  </si>
  <si>
    <t>Harsh Total</t>
  </si>
  <si>
    <t>Jayprakash Total</t>
  </si>
  <si>
    <t>Kabir Total</t>
  </si>
  <si>
    <t>Mahesh Total</t>
  </si>
  <si>
    <t>Monu Total</t>
  </si>
  <si>
    <t>Suresh Total</t>
  </si>
  <si>
    <t>Dharmesh Total</t>
  </si>
  <si>
    <t>Nikumbh Total</t>
  </si>
  <si>
    <t>Nitin Total</t>
  </si>
  <si>
    <t>Rajesh Total</t>
  </si>
  <si>
    <t>Shivam Total</t>
  </si>
  <si>
    <t>Sonu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</si>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</sst>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7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46">
    <xf numFmtId="0" fontId="0" fillId="0" borderId="0" xfId="0"/>
    <xf numFmtId="0" fontId="3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4" fillId="0" borderId="0" xfId="0" applyFont="1"/>
    <xf numFmtId="0" fontId="0" fillId="2" borderId="0" xfId="0" applyFill="1"/>
    <xf numFmtId="0" fontId="0" fillId="0" borderId="0" xfId="0" applyFill="1"/>
    <xf numFmtId="0" fontId="5" fillId="3" borderId="0" xfId="0" applyFont="1" applyFill="1"/>
    <xf numFmtId="0" fontId="2" fillId="4" borderId="0" xfId="0" applyFont="1" applyFill="1"/>
    <xf numFmtId="0" fontId="6" fillId="3" borderId="0" xfId="0" applyFont="1" applyFill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0" fillId="0" borderId="5" xfId="0" applyFont="1" applyBorder="1"/>
    <xf numFmtId="0" fontId="0" fillId="0" borderId="0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7" fillId="5" borderId="0" xfId="2" applyBorder="1"/>
    <xf numFmtId="0" fontId="1" fillId="6" borderId="0" xfId="3" applyBorder="1"/>
    <xf numFmtId="0" fontId="1" fillId="6" borderId="6" xfId="3" applyBorder="1"/>
    <xf numFmtId="0" fontId="1" fillId="7" borderId="0" xfId="4" applyBorder="1"/>
    <xf numFmtId="164" fontId="0" fillId="0" borderId="0" xfId="0" applyNumberFormat="1"/>
    <xf numFmtId="0" fontId="4" fillId="0" borderId="0" xfId="0" applyFont="1" applyBorder="1"/>
    <xf numFmtId="0" fontId="0" fillId="8" borderId="0" xfId="0" applyFill="1"/>
    <xf numFmtId="2" fontId="0" fillId="0" borderId="0" xfId="0" applyNumberFormat="1"/>
    <xf numFmtId="0" fontId="0" fillId="0" borderId="0" xfId="0" applyAlignment="1"/>
    <xf numFmtId="0" fontId="0" fillId="0" borderId="0" xfId="0" applyAlignment="1">
      <alignment wrapText="1"/>
    </xf>
    <xf numFmtId="14" fontId="0" fillId="0" borderId="0" xfId="0" applyNumberFormat="1"/>
    <xf numFmtId="0" fontId="9" fillId="2" borderId="12" xfId="0" applyFont="1" applyFill="1" applyBorder="1" applyAlignment="1">
      <alignment horizontal="left" indent="1"/>
    </xf>
    <xf numFmtId="0" fontId="9" fillId="2" borderId="12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left" indent="1"/>
    </xf>
    <xf numFmtId="0" fontId="4" fillId="9" borderId="12" xfId="0" applyFont="1" applyFill="1" applyBorder="1" applyAlignment="1">
      <alignment horizontal="left" indent="2"/>
    </xf>
    <xf numFmtId="164" fontId="4" fillId="9" borderId="11" xfId="1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left" indent="1"/>
    </xf>
    <xf numFmtId="0" fontId="4" fillId="0" borderId="12" xfId="0" applyFont="1" applyBorder="1" applyAlignment="1">
      <alignment horizontal="left" indent="2"/>
    </xf>
    <xf numFmtId="164" fontId="4" fillId="0" borderId="11" xfId="1" applyNumberFormat="1" applyFont="1" applyBorder="1" applyAlignment="1">
      <alignment horizontal="center"/>
    </xf>
    <xf numFmtId="0" fontId="4" fillId="0" borderId="10" xfId="0" applyFont="1" applyBorder="1" applyAlignment="1">
      <alignment horizontal="left" indent="1"/>
    </xf>
    <xf numFmtId="0" fontId="4" fillId="0" borderId="10" xfId="0" applyFont="1" applyBorder="1" applyAlignment="1">
      <alignment horizontal="left" indent="2"/>
    </xf>
    <xf numFmtId="164" fontId="4" fillId="0" borderId="1" xfId="1" applyNumberFormat="1" applyFont="1" applyBorder="1" applyAlignment="1">
      <alignment horizontal="center"/>
    </xf>
    <xf numFmtId="0" fontId="3" fillId="9" borderId="12" xfId="0" applyFont="1" applyFill="1" applyBorder="1" applyAlignment="1">
      <alignment horizontal="left" indent="1"/>
    </xf>
    <xf numFmtId="0" fontId="3" fillId="0" borderId="12" xfId="0" applyFont="1" applyBorder="1" applyAlignment="1">
      <alignment horizontal="left" indent="1"/>
    </xf>
    <xf numFmtId="0" fontId="4" fillId="0" borderId="0" xfId="0" applyFont="1" applyBorder="1" applyAlignment="1">
      <alignment horizontal="left" indent="2"/>
    </xf>
    <xf numFmtId="164" fontId="4" fillId="0" borderId="0" xfId="1" applyNumberFormat="1" applyFont="1" applyBorder="1" applyAlignment="1">
      <alignment horizontal="center"/>
    </xf>
    <xf numFmtId="0" fontId="3" fillId="0" borderId="0" xfId="0" applyFont="1" applyBorder="1" applyAlignment="1">
      <alignment horizontal="left" indent="1"/>
    </xf>
  </cellXfs>
  <cellStyles count="5">
    <cellStyle name="60% - Accent4" xfId="3" builtinId="44"/>
    <cellStyle name="60% - Accent5" xfId="4" builtinId="48"/>
    <cellStyle name="Bad" xfId="2" builtinId="27"/>
    <cellStyle name="Comma" xfId="1" builtinId="3"/>
    <cellStyle name="Normal" xfId="0" builtinId="0"/>
  </cellStyles>
  <dxfs count="2">
    <dxf>
      <fill>
        <patternFill patternType="solid">
          <fgColor indexed="64"/>
          <bgColor theme="2" tint="-0.24997711111789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C9872C-5CD0-4AB7-AFA1-DEEE88E23C5D}" name="Table2" displayName="Table2" ref="A1:I44" totalsRowShown="0" headerRowDxfId="0">
  <autoFilter ref="A1:I44" xr:uid="{93E7FF62-FF60-470D-9103-595FBBCCD11C}"/>
  <tableColumns count="9">
    <tableColumn id="1" xr3:uid="{D89F0BC3-F69E-4B85-B194-3956677780A8}" name="OrderDate"/>
    <tableColumn id="2" xr3:uid="{09EB299C-FF52-45C1-8840-2F21B1B2EDE4}" name="Region"/>
    <tableColumn id="3" xr3:uid="{F517B627-EFB0-410F-85FE-9F441D81A143}" name="Manager"/>
    <tableColumn id="4" xr3:uid="{DAF61BEF-9806-4339-A6E8-3CB7F6024180}" name="SalesMan"/>
    <tableColumn id="5" xr3:uid="{67C7A84A-38BF-4903-94F8-C7AFB02ABFA5}" name="Item"/>
    <tableColumn id="6" xr3:uid="{A66AFD59-41B3-49AF-A08F-905FCAEF6EBF}" name="Units"/>
    <tableColumn id="7" xr3:uid="{B0D6757E-5B3B-424B-8AAC-380D6555C57F}" name="Unit_price"/>
    <tableColumn id="8" xr3:uid="{3D0E4D06-19B3-416E-868B-650FB6E54953}" name="Sale_amt"/>
    <tableColumn id="9" xr3:uid="{B853B217-BD32-47BD-ADF9-2AC848820565}" name="Pay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zoomScale="130" zoomScaleNormal="130" workbookViewId="0">
      <selection sqref="A1:G36"/>
    </sheetView>
  </sheetViews>
  <sheetFormatPr defaultRowHeight="14.4" x14ac:dyDescent="0.3"/>
  <cols>
    <col min="1" max="1" width="6" bestFit="1" customWidth="1"/>
    <col min="2" max="2" width="12" bestFit="1" customWidth="1"/>
    <col min="3" max="3" width="18.5546875" bestFit="1" customWidth="1"/>
    <col min="4" max="4" width="10.77734375" bestFit="1" customWidth="1"/>
    <col min="5" max="5" width="11.5546875" bestFit="1" customWidth="1"/>
    <col min="6" max="6" width="12.44140625" bestFit="1" customWidth="1"/>
    <col min="7" max="7" width="10.88671875" bestFit="1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13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257</v>
      </c>
      <c r="G2" t="s">
        <v>7</v>
      </c>
      <c r="H2" t="s">
        <v>292</v>
      </c>
      <c r="I2">
        <v>1</v>
      </c>
    </row>
    <row r="3" spans="1:13" x14ac:dyDescent="0.3">
      <c r="A3">
        <v>2</v>
      </c>
      <c r="B3" t="s">
        <v>256</v>
      </c>
      <c r="C3" t="s">
        <v>9</v>
      </c>
      <c r="D3" t="s">
        <v>10</v>
      </c>
      <c r="E3" t="s">
        <v>11</v>
      </c>
      <c r="F3" t="s">
        <v>258</v>
      </c>
      <c r="G3" t="s">
        <v>10</v>
      </c>
      <c r="H3" t="s">
        <v>293</v>
      </c>
      <c r="I3">
        <v>4</v>
      </c>
    </row>
    <row r="4" spans="1:13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259</v>
      </c>
      <c r="G4" t="s">
        <v>14</v>
      </c>
    </row>
    <row r="5" spans="1:13" x14ac:dyDescent="0.3">
      <c r="A5">
        <v>4</v>
      </c>
      <c r="B5" t="s">
        <v>16</v>
      </c>
      <c r="C5" t="s">
        <v>17</v>
      </c>
      <c r="D5" t="s">
        <v>18</v>
      </c>
      <c r="E5" t="s">
        <v>19</v>
      </c>
      <c r="F5" t="s">
        <v>260</v>
      </c>
      <c r="G5" t="s">
        <v>18</v>
      </c>
    </row>
    <row r="6" spans="1:13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261</v>
      </c>
      <c r="G6" t="s">
        <v>22</v>
      </c>
      <c r="I6">
        <v>1</v>
      </c>
      <c r="J6">
        <v>1</v>
      </c>
      <c r="K6" t="s">
        <v>292</v>
      </c>
      <c r="L6">
        <f>I6*I6</f>
        <v>1</v>
      </c>
      <c r="M6">
        <v>1</v>
      </c>
    </row>
    <row r="7" spans="1:13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  <c r="F7" t="s">
        <v>262</v>
      </c>
      <c r="G7" t="s">
        <v>26</v>
      </c>
      <c r="I7">
        <v>2</v>
      </c>
      <c r="J7">
        <v>2</v>
      </c>
      <c r="K7" t="s">
        <v>293</v>
      </c>
      <c r="L7">
        <f t="shared" ref="L7:L16" si="0">I7*I7</f>
        <v>4</v>
      </c>
      <c r="M7">
        <v>2</v>
      </c>
    </row>
    <row r="8" spans="1:13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263</v>
      </c>
      <c r="G8" t="s">
        <v>30</v>
      </c>
      <c r="I8">
        <v>3</v>
      </c>
      <c r="J8">
        <v>3</v>
      </c>
      <c r="K8" t="s">
        <v>294</v>
      </c>
      <c r="L8">
        <f t="shared" si="0"/>
        <v>9</v>
      </c>
      <c r="M8">
        <v>3</v>
      </c>
    </row>
    <row r="9" spans="1:13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  <c r="F9" t="s">
        <v>264</v>
      </c>
      <c r="G9" t="s">
        <v>34</v>
      </c>
      <c r="I9">
        <v>4</v>
      </c>
      <c r="J9">
        <v>4</v>
      </c>
      <c r="K9" t="s">
        <v>295</v>
      </c>
      <c r="L9">
        <f t="shared" si="0"/>
        <v>16</v>
      </c>
      <c r="M9">
        <v>4</v>
      </c>
    </row>
    <row r="10" spans="1:13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  <c r="F10" t="s">
        <v>265</v>
      </c>
      <c r="G10" t="s">
        <v>38</v>
      </c>
      <c r="I10">
        <v>5</v>
      </c>
      <c r="J10">
        <v>5</v>
      </c>
      <c r="K10" t="s">
        <v>296</v>
      </c>
      <c r="L10">
        <f t="shared" si="0"/>
        <v>25</v>
      </c>
      <c r="M10">
        <v>5</v>
      </c>
    </row>
    <row r="11" spans="1:13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  <c r="F11" t="s">
        <v>266</v>
      </c>
      <c r="G11" t="s">
        <v>42</v>
      </c>
      <c r="I11">
        <v>6</v>
      </c>
      <c r="J11">
        <v>6</v>
      </c>
      <c r="K11" t="s">
        <v>297</v>
      </c>
      <c r="L11">
        <f t="shared" si="0"/>
        <v>36</v>
      </c>
      <c r="M11">
        <v>6</v>
      </c>
    </row>
    <row r="12" spans="1:13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  <c r="F12" t="s">
        <v>267</v>
      </c>
      <c r="G12" t="s">
        <v>46</v>
      </c>
      <c r="I12">
        <v>7</v>
      </c>
      <c r="J12">
        <v>7</v>
      </c>
      <c r="K12" t="s">
        <v>298</v>
      </c>
      <c r="L12">
        <f t="shared" si="0"/>
        <v>49</v>
      </c>
      <c r="M12">
        <v>7</v>
      </c>
    </row>
    <row r="13" spans="1:13" x14ac:dyDescent="0.3">
      <c r="A13">
        <v>12</v>
      </c>
      <c r="B13" t="s">
        <v>48</v>
      </c>
      <c r="C13" t="s">
        <v>49</v>
      </c>
      <c r="D13" t="s">
        <v>50</v>
      </c>
      <c r="E13" t="s">
        <v>51</v>
      </c>
      <c r="F13" t="s">
        <v>268</v>
      </c>
      <c r="G13" t="s">
        <v>50</v>
      </c>
      <c r="I13">
        <v>8</v>
      </c>
      <c r="J13">
        <v>8</v>
      </c>
      <c r="K13" t="s">
        <v>299</v>
      </c>
      <c r="L13">
        <f t="shared" si="0"/>
        <v>64</v>
      </c>
    </row>
    <row r="14" spans="1:13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  <c r="F14" t="s">
        <v>269</v>
      </c>
      <c r="G14" t="s">
        <v>54</v>
      </c>
      <c r="I14">
        <v>9</v>
      </c>
      <c r="J14">
        <v>9</v>
      </c>
      <c r="K14" t="s">
        <v>300</v>
      </c>
      <c r="L14">
        <f t="shared" si="0"/>
        <v>81</v>
      </c>
    </row>
    <row r="15" spans="1:13" x14ac:dyDescent="0.3">
      <c r="A15">
        <v>14</v>
      </c>
      <c r="B15" t="s">
        <v>56</v>
      </c>
      <c r="C15" t="s">
        <v>57</v>
      </c>
      <c r="D15" t="s">
        <v>58</v>
      </c>
      <c r="E15" t="s">
        <v>59</v>
      </c>
      <c r="F15" t="s">
        <v>270</v>
      </c>
      <c r="G15" t="s">
        <v>58</v>
      </c>
      <c r="I15">
        <v>10</v>
      </c>
      <c r="J15">
        <v>10</v>
      </c>
      <c r="K15" t="s">
        <v>301</v>
      </c>
      <c r="L15">
        <f t="shared" si="0"/>
        <v>100</v>
      </c>
    </row>
    <row r="16" spans="1:13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  <c r="F16" t="s">
        <v>271</v>
      </c>
      <c r="G16" t="s">
        <v>62</v>
      </c>
      <c r="I16">
        <v>11</v>
      </c>
      <c r="J16">
        <v>11</v>
      </c>
      <c r="K16" t="s">
        <v>302</v>
      </c>
      <c r="L16">
        <f t="shared" si="0"/>
        <v>121</v>
      </c>
    </row>
    <row r="17" spans="1:7" x14ac:dyDescent="0.3">
      <c r="A17">
        <v>16</v>
      </c>
      <c r="B17" t="s">
        <v>64</v>
      </c>
      <c r="C17" t="s">
        <v>65</v>
      </c>
      <c r="D17" t="s">
        <v>66</v>
      </c>
      <c r="E17" t="s">
        <v>67</v>
      </c>
      <c r="F17" t="s">
        <v>272</v>
      </c>
      <c r="G17" t="s">
        <v>66</v>
      </c>
    </row>
    <row r="18" spans="1:7" x14ac:dyDescent="0.3">
      <c r="A18">
        <v>17</v>
      </c>
      <c r="B18" t="s">
        <v>68</v>
      </c>
      <c r="C18" t="s">
        <v>69</v>
      </c>
      <c r="D18" t="s">
        <v>38</v>
      </c>
      <c r="E18" t="s">
        <v>70</v>
      </c>
      <c r="F18" t="s">
        <v>273</v>
      </c>
      <c r="G18" t="s">
        <v>38</v>
      </c>
    </row>
    <row r="19" spans="1:7" x14ac:dyDescent="0.3">
      <c r="A19">
        <v>18</v>
      </c>
      <c r="B19" t="s">
        <v>71</v>
      </c>
      <c r="C19" t="s">
        <v>72</v>
      </c>
      <c r="D19" t="s">
        <v>73</v>
      </c>
      <c r="E19" t="s">
        <v>74</v>
      </c>
      <c r="F19" t="s">
        <v>274</v>
      </c>
      <c r="G19" t="s">
        <v>73</v>
      </c>
    </row>
    <row r="20" spans="1:7" x14ac:dyDescent="0.3">
      <c r="A20">
        <v>19</v>
      </c>
      <c r="B20" t="s">
        <v>75</v>
      </c>
      <c r="C20" t="s">
        <v>76</v>
      </c>
      <c r="D20" t="s">
        <v>77</v>
      </c>
      <c r="E20" t="s">
        <v>78</v>
      </c>
      <c r="F20" t="s">
        <v>275</v>
      </c>
      <c r="G20" t="s">
        <v>77</v>
      </c>
    </row>
    <row r="21" spans="1:7" x14ac:dyDescent="0.3">
      <c r="A21">
        <v>20</v>
      </c>
      <c r="B21" t="s">
        <v>79</v>
      </c>
      <c r="C21" t="s">
        <v>80</v>
      </c>
      <c r="D21" t="s">
        <v>81</v>
      </c>
      <c r="E21" t="s">
        <v>82</v>
      </c>
      <c r="F21" t="s">
        <v>276</v>
      </c>
      <c r="G21" t="s">
        <v>81</v>
      </c>
    </row>
    <row r="22" spans="1:7" x14ac:dyDescent="0.3">
      <c r="A22">
        <v>21</v>
      </c>
      <c r="B22" t="s">
        <v>83</v>
      </c>
      <c r="C22" t="s">
        <v>84</v>
      </c>
      <c r="D22" t="s">
        <v>85</v>
      </c>
      <c r="E22" t="s">
        <v>86</v>
      </c>
      <c r="F22" t="s">
        <v>277</v>
      </c>
      <c r="G22" t="s">
        <v>85</v>
      </c>
    </row>
    <row r="23" spans="1:7" x14ac:dyDescent="0.3">
      <c r="A23">
        <v>22</v>
      </c>
      <c r="B23" t="s">
        <v>87</v>
      </c>
      <c r="C23" t="s">
        <v>88</v>
      </c>
      <c r="D23" t="s">
        <v>89</v>
      </c>
      <c r="E23" t="s">
        <v>90</v>
      </c>
      <c r="F23" t="s">
        <v>278</v>
      </c>
      <c r="G23" t="s">
        <v>89</v>
      </c>
    </row>
    <row r="24" spans="1:7" x14ac:dyDescent="0.3">
      <c r="A24">
        <v>23</v>
      </c>
      <c r="B24" t="s">
        <v>91</v>
      </c>
      <c r="C24" t="s">
        <v>92</v>
      </c>
      <c r="D24" t="s">
        <v>93</v>
      </c>
      <c r="E24" t="s">
        <v>94</v>
      </c>
      <c r="F24" t="s">
        <v>279</v>
      </c>
      <c r="G24" t="s">
        <v>93</v>
      </c>
    </row>
    <row r="25" spans="1:7" x14ac:dyDescent="0.3">
      <c r="A25">
        <v>24</v>
      </c>
      <c r="B25" t="s">
        <v>95</v>
      </c>
      <c r="C25" t="s">
        <v>96</v>
      </c>
      <c r="D25" t="s">
        <v>97</v>
      </c>
      <c r="E25" t="s">
        <v>98</v>
      </c>
      <c r="F25" t="s">
        <v>280</v>
      </c>
      <c r="G25" t="s">
        <v>97</v>
      </c>
    </row>
    <row r="26" spans="1:7" x14ac:dyDescent="0.3">
      <c r="A26">
        <v>25</v>
      </c>
      <c r="B26" t="s">
        <v>99</v>
      </c>
      <c r="C26" t="s">
        <v>100</v>
      </c>
      <c r="D26" t="s">
        <v>101</v>
      </c>
      <c r="E26" t="s">
        <v>102</v>
      </c>
      <c r="F26" t="s">
        <v>281</v>
      </c>
      <c r="G26" t="s">
        <v>101</v>
      </c>
    </row>
    <row r="27" spans="1:7" x14ac:dyDescent="0.3">
      <c r="A27">
        <v>26</v>
      </c>
      <c r="B27" t="s">
        <v>103</v>
      </c>
      <c r="C27" t="s">
        <v>104</v>
      </c>
      <c r="D27" t="s">
        <v>105</v>
      </c>
      <c r="E27" t="s">
        <v>106</v>
      </c>
      <c r="F27" t="s">
        <v>282</v>
      </c>
      <c r="G27" t="s">
        <v>105</v>
      </c>
    </row>
    <row r="28" spans="1:7" x14ac:dyDescent="0.3">
      <c r="A28">
        <v>27</v>
      </c>
      <c r="B28" t="s">
        <v>107</v>
      </c>
      <c r="C28" t="s">
        <v>108</v>
      </c>
      <c r="D28" t="s">
        <v>109</v>
      </c>
      <c r="E28" t="s">
        <v>110</v>
      </c>
      <c r="F28" t="s">
        <v>283</v>
      </c>
      <c r="G28" t="s">
        <v>109</v>
      </c>
    </row>
    <row r="29" spans="1:7" x14ac:dyDescent="0.3">
      <c r="A29">
        <v>28</v>
      </c>
      <c r="B29" t="s">
        <v>111</v>
      </c>
      <c r="C29" t="s">
        <v>112</v>
      </c>
      <c r="D29" t="s">
        <v>113</v>
      </c>
      <c r="E29" t="s">
        <v>114</v>
      </c>
      <c r="F29" t="s">
        <v>284</v>
      </c>
      <c r="G29" t="s">
        <v>113</v>
      </c>
    </row>
    <row r="30" spans="1:7" x14ac:dyDescent="0.3">
      <c r="A30">
        <v>29</v>
      </c>
      <c r="B30" t="s">
        <v>115</v>
      </c>
      <c r="C30" t="s">
        <v>116</v>
      </c>
      <c r="D30" t="s">
        <v>117</v>
      </c>
      <c r="E30" t="s">
        <v>118</v>
      </c>
      <c r="F30" t="s">
        <v>285</v>
      </c>
      <c r="G30" t="s">
        <v>117</v>
      </c>
    </row>
    <row r="31" spans="1:7" x14ac:dyDescent="0.3">
      <c r="A31">
        <v>30</v>
      </c>
      <c r="B31" t="s">
        <v>119</v>
      </c>
      <c r="C31" t="s">
        <v>120</v>
      </c>
      <c r="D31" t="s">
        <v>121</v>
      </c>
      <c r="E31" t="s">
        <v>122</v>
      </c>
      <c r="F31" t="s">
        <v>286</v>
      </c>
      <c r="G31" t="s">
        <v>121</v>
      </c>
    </row>
    <row r="32" spans="1:7" x14ac:dyDescent="0.3">
      <c r="A32">
        <v>31</v>
      </c>
      <c r="B32" t="s">
        <v>123</v>
      </c>
      <c r="C32" t="s">
        <v>124</v>
      </c>
      <c r="D32" t="s">
        <v>125</v>
      </c>
      <c r="E32" t="s">
        <v>126</v>
      </c>
      <c r="F32" t="s">
        <v>287</v>
      </c>
      <c r="G32" t="s">
        <v>125</v>
      </c>
    </row>
    <row r="33" spans="1:7" x14ac:dyDescent="0.3">
      <c r="A33">
        <v>32</v>
      </c>
      <c r="B33" t="s">
        <v>127</v>
      </c>
      <c r="C33" t="s">
        <v>128</v>
      </c>
      <c r="D33" t="s">
        <v>129</v>
      </c>
      <c r="E33" t="s">
        <v>130</v>
      </c>
      <c r="F33" t="s">
        <v>288</v>
      </c>
      <c r="G33" t="s">
        <v>129</v>
      </c>
    </row>
    <row r="34" spans="1:7" x14ac:dyDescent="0.3">
      <c r="A34">
        <v>33</v>
      </c>
      <c r="B34" t="s">
        <v>131</v>
      </c>
      <c r="C34" t="s">
        <v>132</v>
      </c>
      <c r="D34" t="s">
        <v>133</v>
      </c>
      <c r="E34" t="s">
        <v>134</v>
      </c>
      <c r="F34" t="s">
        <v>289</v>
      </c>
      <c r="G34" t="s">
        <v>133</v>
      </c>
    </row>
    <row r="35" spans="1:7" x14ac:dyDescent="0.3">
      <c r="A35">
        <v>34</v>
      </c>
      <c r="B35" t="s">
        <v>135</v>
      </c>
      <c r="C35" t="s">
        <v>136</v>
      </c>
      <c r="D35" t="s">
        <v>137</v>
      </c>
      <c r="E35" t="s">
        <v>138</v>
      </c>
      <c r="F35" t="s">
        <v>290</v>
      </c>
      <c r="G35" t="s">
        <v>137</v>
      </c>
    </row>
    <row r="36" spans="1:7" x14ac:dyDescent="0.3">
      <c r="A36">
        <v>35</v>
      </c>
      <c r="B36" t="s">
        <v>139</v>
      </c>
      <c r="C36" t="s">
        <v>140</v>
      </c>
      <c r="D36" t="s">
        <v>141</v>
      </c>
      <c r="E36" t="s">
        <v>142</v>
      </c>
      <c r="F36" t="s">
        <v>291</v>
      </c>
      <c r="G36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8E69-15EF-412E-8077-ACD2EFAAC10D}">
  <dimension ref="A1:E36"/>
  <sheetViews>
    <sheetView zoomScale="115" zoomScaleNormal="115" workbookViewId="0">
      <selection activeCell="B5" sqref="B5:B11"/>
    </sheetView>
  </sheetViews>
  <sheetFormatPr defaultRowHeight="15" customHeight="1" x14ac:dyDescent="0.3"/>
  <cols>
    <col min="1" max="5" width="20.77734375" customWidth="1"/>
  </cols>
  <sheetData>
    <row r="1" spans="1:5" ht="15" customHeigh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ht="15" customHeight="1" x14ac:dyDescent="0.3">
      <c r="A2" s="12">
        <v>1</v>
      </c>
      <c r="B2" s="13" t="s">
        <v>5</v>
      </c>
      <c r="C2" s="13" t="s">
        <v>6</v>
      </c>
      <c r="D2" s="13" t="s">
        <v>7</v>
      </c>
      <c r="E2" s="14" t="s">
        <v>8</v>
      </c>
    </row>
    <row r="3" spans="1:5" ht="15" customHeight="1" x14ac:dyDescent="0.3">
      <c r="A3" s="12">
        <v>2</v>
      </c>
      <c r="B3" s="13" t="s">
        <v>256</v>
      </c>
      <c r="C3" s="13" t="s">
        <v>9</v>
      </c>
      <c r="D3" s="13" t="s">
        <v>10</v>
      </c>
      <c r="E3" s="14" t="s">
        <v>11</v>
      </c>
    </row>
    <row r="4" spans="1:5" ht="15" customHeight="1" x14ac:dyDescent="0.3">
      <c r="A4" s="12">
        <v>3</v>
      </c>
      <c r="B4" s="13" t="s">
        <v>12</v>
      </c>
      <c r="C4" s="13" t="s">
        <v>13</v>
      </c>
      <c r="D4" s="13" t="s">
        <v>14</v>
      </c>
      <c r="E4" s="14" t="s">
        <v>15</v>
      </c>
    </row>
    <row r="5" spans="1:5" ht="15" customHeight="1" x14ac:dyDescent="0.3">
      <c r="A5" s="12">
        <v>4</v>
      </c>
      <c r="C5" s="13" t="s">
        <v>17</v>
      </c>
      <c r="D5" s="13"/>
      <c r="E5" s="14" t="s">
        <v>19</v>
      </c>
    </row>
    <row r="6" spans="1:5" ht="15" customHeight="1" x14ac:dyDescent="0.3">
      <c r="A6" s="12">
        <v>5</v>
      </c>
      <c r="C6" t="s">
        <v>21</v>
      </c>
      <c r="D6" s="13"/>
      <c r="E6" s="14" t="s">
        <v>23</v>
      </c>
    </row>
    <row r="7" spans="1:5" ht="15" customHeight="1" x14ac:dyDescent="0.3">
      <c r="A7" s="12">
        <v>6</v>
      </c>
      <c r="C7" t="s">
        <v>25</v>
      </c>
      <c r="D7" s="13"/>
      <c r="E7" s="14" t="s">
        <v>27</v>
      </c>
    </row>
    <row r="8" spans="1:5" ht="15" customHeight="1" x14ac:dyDescent="0.3">
      <c r="A8" s="12">
        <v>7</v>
      </c>
      <c r="C8" t="s">
        <v>29</v>
      </c>
      <c r="D8" s="13"/>
      <c r="E8" s="14" t="s">
        <v>31</v>
      </c>
    </row>
    <row r="9" spans="1:5" ht="15" customHeight="1" x14ac:dyDescent="0.3">
      <c r="A9" s="12">
        <v>8</v>
      </c>
      <c r="C9" t="s">
        <v>33</v>
      </c>
      <c r="D9" s="13" t="s">
        <v>34</v>
      </c>
      <c r="E9" s="14" t="s">
        <v>35</v>
      </c>
    </row>
    <row r="10" spans="1:5" ht="15" customHeight="1" x14ac:dyDescent="0.3">
      <c r="A10" s="12">
        <v>9</v>
      </c>
      <c r="C10" t="s">
        <v>37</v>
      </c>
      <c r="D10" s="13" t="s">
        <v>38</v>
      </c>
      <c r="E10" s="14" t="s">
        <v>39</v>
      </c>
    </row>
    <row r="11" spans="1:5" ht="15" customHeight="1" x14ac:dyDescent="0.3">
      <c r="A11" s="12">
        <v>10</v>
      </c>
      <c r="C11" s="13" t="s">
        <v>41</v>
      </c>
      <c r="D11" s="13" t="s">
        <v>42</v>
      </c>
      <c r="E11" s="14" t="s">
        <v>43</v>
      </c>
    </row>
    <row r="12" spans="1:5" ht="15" customHeight="1" x14ac:dyDescent="0.3">
      <c r="A12" s="12">
        <v>11</v>
      </c>
      <c r="B12" s="13" t="s">
        <v>44</v>
      </c>
      <c r="C12" s="13" t="s">
        <v>45</v>
      </c>
      <c r="D12" s="13" t="s">
        <v>46</v>
      </c>
      <c r="E12" s="14" t="s">
        <v>47</v>
      </c>
    </row>
    <row r="13" spans="1:5" ht="15" customHeight="1" x14ac:dyDescent="0.3">
      <c r="A13" s="12">
        <v>12</v>
      </c>
      <c r="B13" s="13" t="s">
        <v>48</v>
      </c>
      <c r="C13" s="13" t="s">
        <v>49</v>
      </c>
      <c r="D13" s="13" t="s">
        <v>50</v>
      </c>
      <c r="E13" s="14" t="s">
        <v>51</v>
      </c>
    </row>
    <row r="14" spans="1:5" ht="15" customHeight="1" x14ac:dyDescent="0.3">
      <c r="A14" s="12">
        <v>13</v>
      </c>
      <c r="B14" s="13" t="s">
        <v>52</v>
      </c>
      <c r="C14" s="18" t="s">
        <v>53</v>
      </c>
      <c r="D14" s="18" t="s">
        <v>54</v>
      </c>
      <c r="E14" s="14" t="s">
        <v>55</v>
      </c>
    </row>
    <row r="15" spans="1:5" ht="15" customHeight="1" x14ac:dyDescent="0.3">
      <c r="A15" s="12">
        <v>14</v>
      </c>
      <c r="B15" s="13" t="s">
        <v>56</v>
      </c>
      <c r="C15" s="18" t="s">
        <v>57</v>
      </c>
      <c r="D15" s="18" t="s">
        <v>58</v>
      </c>
      <c r="E15" s="14" t="s">
        <v>59</v>
      </c>
    </row>
    <row r="16" spans="1:5" ht="15" customHeight="1" x14ac:dyDescent="0.3">
      <c r="A16" s="12">
        <v>15</v>
      </c>
      <c r="B16" s="13" t="s">
        <v>60</v>
      </c>
      <c r="C16" s="18" t="s">
        <v>61</v>
      </c>
      <c r="D16" s="18" t="s">
        <v>62</v>
      </c>
      <c r="E16" s="14" t="s">
        <v>63</v>
      </c>
    </row>
    <row r="17" spans="1:5" ht="15" customHeight="1" x14ac:dyDescent="0.3">
      <c r="A17" s="12">
        <v>16</v>
      </c>
      <c r="B17" s="13" t="s">
        <v>64</v>
      </c>
      <c r="C17" s="18" t="s">
        <v>65</v>
      </c>
      <c r="D17" s="18" t="s">
        <v>66</v>
      </c>
      <c r="E17" s="14" t="s">
        <v>67</v>
      </c>
    </row>
    <row r="18" spans="1:5" ht="15" customHeight="1" x14ac:dyDescent="0.3">
      <c r="A18" s="12">
        <v>17</v>
      </c>
      <c r="B18" s="13" t="s">
        <v>68</v>
      </c>
      <c r="C18" s="18" t="s">
        <v>69</v>
      </c>
      <c r="D18" s="18" t="s">
        <v>38</v>
      </c>
      <c r="E18" s="14" t="s">
        <v>70</v>
      </c>
    </row>
    <row r="19" spans="1:5" ht="15" customHeight="1" x14ac:dyDescent="0.3">
      <c r="A19" s="12">
        <v>18</v>
      </c>
      <c r="B19" s="13" t="s">
        <v>71</v>
      </c>
      <c r="C19" s="18" t="s">
        <v>72</v>
      </c>
      <c r="D19" s="18" t="s">
        <v>73</v>
      </c>
      <c r="E19" s="14" t="s">
        <v>74</v>
      </c>
    </row>
    <row r="20" spans="1:5" ht="15" customHeight="1" x14ac:dyDescent="0.3">
      <c r="A20" s="12">
        <v>19</v>
      </c>
      <c r="B20" s="13" t="s">
        <v>75</v>
      </c>
      <c r="C20" s="13" t="s">
        <v>76</v>
      </c>
      <c r="D20" s="13" t="s">
        <v>77</v>
      </c>
      <c r="E20" s="14" t="s">
        <v>78</v>
      </c>
    </row>
    <row r="21" spans="1:5" ht="15" customHeight="1" x14ac:dyDescent="0.3">
      <c r="A21" s="12">
        <v>20</v>
      </c>
      <c r="B21" s="13" t="s">
        <v>79</v>
      </c>
      <c r="C21" s="13" t="s">
        <v>80</v>
      </c>
      <c r="D21" s="13" t="s">
        <v>81</v>
      </c>
      <c r="E21" s="14" t="s">
        <v>82</v>
      </c>
    </row>
    <row r="22" spans="1:5" ht="15" customHeight="1" x14ac:dyDescent="0.3">
      <c r="A22" s="12">
        <v>21</v>
      </c>
      <c r="B22" s="13" t="s">
        <v>83</v>
      </c>
      <c r="C22" s="19" t="s">
        <v>84</v>
      </c>
      <c r="D22" s="19" t="s">
        <v>85</v>
      </c>
      <c r="E22" s="20" t="s">
        <v>86</v>
      </c>
    </row>
    <row r="23" spans="1:5" ht="15" customHeight="1" x14ac:dyDescent="0.3">
      <c r="A23" s="12">
        <v>22</v>
      </c>
      <c r="B23" s="13" t="s">
        <v>87</v>
      </c>
      <c r="C23" s="19" t="s">
        <v>88</v>
      </c>
      <c r="D23" s="19" t="s">
        <v>89</v>
      </c>
      <c r="E23" s="20" t="s">
        <v>90</v>
      </c>
    </row>
    <row r="24" spans="1:5" ht="15" customHeight="1" x14ac:dyDescent="0.3">
      <c r="A24" s="12">
        <v>23</v>
      </c>
      <c r="B24" s="13" t="s">
        <v>91</v>
      </c>
      <c r="C24" s="19" t="s">
        <v>92</v>
      </c>
      <c r="D24" s="19" t="s">
        <v>93</v>
      </c>
      <c r="E24" s="20" t="s">
        <v>94</v>
      </c>
    </row>
    <row r="25" spans="1:5" ht="15" customHeight="1" x14ac:dyDescent="0.3">
      <c r="A25" s="12">
        <v>24</v>
      </c>
      <c r="B25" s="13" t="s">
        <v>95</v>
      </c>
      <c r="C25" s="19" t="s">
        <v>96</v>
      </c>
      <c r="D25" s="19" t="s">
        <v>97</v>
      </c>
      <c r="E25" s="20" t="s">
        <v>98</v>
      </c>
    </row>
    <row r="26" spans="1:5" ht="15" customHeight="1" x14ac:dyDescent="0.3">
      <c r="A26" s="12">
        <v>25</v>
      </c>
      <c r="B26" s="13" t="s">
        <v>99</v>
      </c>
      <c r="C26" s="19" t="s">
        <v>100</v>
      </c>
      <c r="D26" s="19" t="s">
        <v>101</v>
      </c>
      <c r="E26" s="20" t="s">
        <v>102</v>
      </c>
    </row>
    <row r="27" spans="1:5" ht="15" customHeight="1" x14ac:dyDescent="0.3">
      <c r="A27" s="12">
        <v>26</v>
      </c>
      <c r="B27" s="13" t="s">
        <v>103</v>
      </c>
      <c r="C27" s="19" t="s">
        <v>104</v>
      </c>
      <c r="D27" s="19" t="s">
        <v>105</v>
      </c>
      <c r="E27" s="20" t="s">
        <v>106</v>
      </c>
    </row>
    <row r="28" spans="1:5" ht="15" customHeight="1" x14ac:dyDescent="0.3">
      <c r="A28" s="12">
        <v>27</v>
      </c>
      <c r="B28" s="13" t="s">
        <v>107</v>
      </c>
      <c r="C28" s="13" t="s">
        <v>108</v>
      </c>
      <c r="D28" s="13" t="s">
        <v>109</v>
      </c>
      <c r="E28" s="14" t="s">
        <v>110</v>
      </c>
    </row>
    <row r="29" spans="1:5" ht="15" customHeight="1" x14ac:dyDescent="0.3">
      <c r="A29" s="12">
        <v>28</v>
      </c>
      <c r="B29" s="13" t="s">
        <v>111</v>
      </c>
      <c r="C29" s="13" t="s">
        <v>112</v>
      </c>
      <c r="D29" s="13" t="s">
        <v>113</v>
      </c>
      <c r="E29" s="14" t="s">
        <v>114</v>
      </c>
    </row>
    <row r="30" spans="1:5" ht="15" customHeight="1" x14ac:dyDescent="0.3">
      <c r="A30" s="12">
        <v>29</v>
      </c>
      <c r="B30" s="21" t="s">
        <v>115</v>
      </c>
      <c r="C30" s="21" t="s">
        <v>116</v>
      </c>
      <c r="D30" s="13" t="s">
        <v>117</v>
      </c>
      <c r="E30" s="14" t="s">
        <v>118</v>
      </c>
    </row>
    <row r="31" spans="1:5" ht="15" customHeight="1" x14ac:dyDescent="0.3">
      <c r="A31" s="12">
        <v>30</v>
      </c>
      <c r="B31" s="21" t="s">
        <v>119</v>
      </c>
      <c r="C31" s="21" t="s">
        <v>120</v>
      </c>
      <c r="D31" s="13" t="s">
        <v>121</v>
      </c>
      <c r="E31" s="14" t="s">
        <v>122</v>
      </c>
    </row>
    <row r="32" spans="1:5" ht="15" customHeight="1" x14ac:dyDescent="0.3">
      <c r="A32" s="12">
        <v>31</v>
      </c>
      <c r="B32" s="21" t="s">
        <v>123</v>
      </c>
      <c r="C32" s="21" t="s">
        <v>124</v>
      </c>
      <c r="D32" s="13" t="s">
        <v>125</v>
      </c>
      <c r="E32" s="14" t="s">
        <v>126</v>
      </c>
    </row>
    <row r="33" spans="1:5" ht="15" customHeight="1" x14ac:dyDescent="0.3">
      <c r="A33" s="12">
        <v>32</v>
      </c>
      <c r="B33" s="21" t="s">
        <v>127</v>
      </c>
      <c r="C33" s="21" t="s">
        <v>128</v>
      </c>
      <c r="D33" s="13" t="s">
        <v>129</v>
      </c>
      <c r="E33" s="14" t="s">
        <v>130</v>
      </c>
    </row>
    <row r="34" spans="1:5" ht="15" customHeight="1" x14ac:dyDescent="0.3">
      <c r="A34" s="12">
        <v>33</v>
      </c>
      <c r="B34" s="13" t="s">
        <v>131</v>
      </c>
      <c r="C34" s="13" t="s">
        <v>132</v>
      </c>
      <c r="D34" s="13" t="s">
        <v>133</v>
      </c>
      <c r="E34" s="14" t="s">
        <v>134</v>
      </c>
    </row>
    <row r="35" spans="1:5" ht="15" customHeight="1" x14ac:dyDescent="0.3">
      <c r="A35" s="12">
        <v>34</v>
      </c>
      <c r="B35" s="13" t="s">
        <v>135</v>
      </c>
      <c r="C35" s="13" t="s">
        <v>136</v>
      </c>
      <c r="D35" s="13" t="s">
        <v>137</v>
      </c>
      <c r="E35" s="14" t="s">
        <v>138</v>
      </c>
    </row>
    <row r="36" spans="1:5" ht="15" customHeight="1" x14ac:dyDescent="0.3">
      <c r="A36" s="15">
        <v>35</v>
      </c>
      <c r="B36" s="16" t="s">
        <v>139</v>
      </c>
      <c r="C36" s="16" t="s">
        <v>140</v>
      </c>
      <c r="D36" s="16" t="s">
        <v>141</v>
      </c>
      <c r="E36" s="17" t="s">
        <v>142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3973-EB28-47CE-9245-ABB5D98B25FC}">
  <dimension ref="A1:H89"/>
  <sheetViews>
    <sheetView zoomScaleNormal="100" workbookViewId="0">
      <selection activeCell="C14" sqref="C14"/>
    </sheetView>
  </sheetViews>
  <sheetFormatPr defaultRowHeight="15.6" x14ac:dyDescent="0.3"/>
  <cols>
    <col min="1" max="1" width="17.77734375" style="3" bestFit="1" customWidth="1"/>
    <col min="2" max="2" width="18.21875" style="3" bestFit="1" customWidth="1"/>
    <col min="3" max="3" width="10.77734375" style="3" bestFit="1" customWidth="1"/>
    <col min="4" max="4" width="8.6640625" bestFit="1" customWidth="1"/>
    <col min="5" max="5" width="11.5546875" bestFit="1" customWidth="1"/>
    <col min="6" max="6" width="7.77734375" bestFit="1" customWidth="1"/>
  </cols>
  <sheetData>
    <row r="1" spans="1:8" x14ac:dyDescent="0.3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251</v>
      </c>
    </row>
    <row r="2" spans="1:8" x14ac:dyDescent="0.3">
      <c r="A2" s="2" t="s">
        <v>188</v>
      </c>
      <c r="B2" s="2">
        <v>93</v>
      </c>
      <c r="C2" s="2">
        <v>53</v>
      </c>
      <c r="D2" s="2">
        <v>56</v>
      </c>
      <c r="E2" s="2">
        <v>47</v>
      </c>
      <c r="F2" s="2">
        <v>86</v>
      </c>
      <c r="G2">
        <f t="shared" ref="G2:G8" si="0">SUM(B2:F2)</f>
        <v>335</v>
      </c>
    </row>
    <row r="3" spans="1:8" x14ac:dyDescent="0.3">
      <c r="A3" s="2" t="s">
        <v>175</v>
      </c>
      <c r="B3" s="2">
        <v>86</v>
      </c>
      <c r="C3" s="2">
        <v>34</v>
      </c>
      <c r="D3" s="2">
        <v>80</v>
      </c>
      <c r="E3" s="2">
        <v>77</v>
      </c>
      <c r="F3" s="2">
        <v>92</v>
      </c>
      <c r="G3">
        <f t="shared" si="0"/>
        <v>369</v>
      </c>
    </row>
    <row r="4" spans="1:8" x14ac:dyDescent="0.3">
      <c r="A4" s="2" t="s">
        <v>186</v>
      </c>
      <c r="B4" s="2">
        <v>38</v>
      </c>
      <c r="C4" s="2">
        <v>39</v>
      </c>
      <c r="D4" s="2">
        <v>51</v>
      </c>
      <c r="E4" s="2">
        <v>72</v>
      </c>
      <c r="F4" s="2">
        <v>91</v>
      </c>
      <c r="G4">
        <f t="shared" si="0"/>
        <v>291</v>
      </c>
    </row>
    <row r="5" spans="1:8" x14ac:dyDescent="0.3">
      <c r="A5" s="2" t="s">
        <v>189</v>
      </c>
      <c r="B5" s="2">
        <v>84</v>
      </c>
      <c r="C5" s="2">
        <v>50</v>
      </c>
      <c r="D5" s="2">
        <v>86</v>
      </c>
      <c r="E5" s="2">
        <v>91</v>
      </c>
      <c r="F5" s="2">
        <v>66</v>
      </c>
      <c r="G5">
        <f t="shared" si="0"/>
        <v>377</v>
      </c>
    </row>
    <row r="6" spans="1:8" x14ac:dyDescent="0.3">
      <c r="A6" s="2" t="s">
        <v>185</v>
      </c>
      <c r="B6" s="2">
        <v>46</v>
      </c>
      <c r="C6" s="2">
        <v>86</v>
      </c>
      <c r="D6" s="2">
        <v>44</v>
      </c>
      <c r="E6" s="2">
        <v>57</v>
      </c>
      <c r="F6" s="2">
        <v>40</v>
      </c>
      <c r="G6">
        <f t="shared" si="0"/>
        <v>273</v>
      </c>
    </row>
    <row r="7" spans="1:8" x14ac:dyDescent="0.3">
      <c r="A7" s="2" t="s">
        <v>190</v>
      </c>
      <c r="B7" s="2">
        <v>41</v>
      </c>
      <c r="C7" s="2">
        <v>43</v>
      </c>
      <c r="D7" s="2">
        <v>88</v>
      </c>
      <c r="E7" s="2">
        <v>57</v>
      </c>
      <c r="F7" s="2">
        <v>36</v>
      </c>
      <c r="G7">
        <f t="shared" si="0"/>
        <v>265</v>
      </c>
    </row>
    <row r="8" spans="1:8" x14ac:dyDescent="0.3">
      <c r="A8" s="2" t="s">
        <v>187</v>
      </c>
      <c r="B8" s="2">
        <v>72</v>
      </c>
      <c r="C8" s="2">
        <v>89</v>
      </c>
      <c r="D8" s="2">
        <v>65</v>
      </c>
      <c r="E8" s="2">
        <v>33</v>
      </c>
      <c r="F8" s="2">
        <v>63</v>
      </c>
      <c r="G8">
        <f t="shared" si="0"/>
        <v>322</v>
      </c>
    </row>
    <row r="9" spans="1:8" x14ac:dyDescent="0.3">
      <c r="A9" s="23"/>
      <c r="B9" s="23"/>
      <c r="C9" s="23"/>
    </row>
    <row r="10" spans="1:8" x14ac:dyDescent="0.3">
      <c r="A10" s="23"/>
      <c r="B10" s="23"/>
      <c r="C10" s="23"/>
    </row>
    <row r="11" spans="1:8" x14ac:dyDescent="0.3">
      <c r="A11" s="23"/>
      <c r="B11" s="23"/>
      <c r="C11" s="23"/>
    </row>
    <row r="12" spans="1:8" x14ac:dyDescent="0.3">
      <c r="A12" s="23"/>
      <c r="B12" s="23"/>
      <c r="C12" s="23"/>
    </row>
    <row r="13" spans="1:8" x14ac:dyDescent="0.3">
      <c r="A13" s="29" t="s">
        <v>191</v>
      </c>
      <c r="B13" s="30" t="s">
        <v>192</v>
      </c>
      <c r="C13" s="31" t="s">
        <v>193</v>
      </c>
    </row>
    <row r="14" spans="1:8" x14ac:dyDescent="0.3">
      <c r="A14" s="32" t="s">
        <v>200</v>
      </c>
      <c r="B14" s="33" t="s">
        <v>195</v>
      </c>
      <c r="C14" s="34">
        <v>3430</v>
      </c>
      <c r="H14" s="22"/>
    </row>
    <row r="15" spans="1:8" x14ac:dyDescent="0.3">
      <c r="A15" s="35" t="s">
        <v>200</v>
      </c>
      <c r="B15" s="36" t="s">
        <v>195</v>
      </c>
      <c r="C15" s="37">
        <v>5123</v>
      </c>
    </row>
    <row r="16" spans="1:8" x14ac:dyDescent="0.3">
      <c r="A16" s="32" t="s">
        <v>200</v>
      </c>
      <c r="B16" s="33" t="s">
        <v>195</v>
      </c>
      <c r="C16" s="34">
        <v>8834</v>
      </c>
    </row>
    <row r="17" spans="1:3" x14ac:dyDescent="0.3">
      <c r="A17" s="41" t="s">
        <v>305</v>
      </c>
      <c r="B17" s="33"/>
      <c r="C17" s="34">
        <f>SUBTOTAL(9,C14:C16)</f>
        <v>17387</v>
      </c>
    </row>
    <row r="18" spans="1:3" x14ac:dyDescent="0.3">
      <c r="A18" s="35" t="s">
        <v>188</v>
      </c>
      <c r="B18" s="36" t="s">
        <v>195</v>
      </c>
      <c r="C18" s="37">
        <v>5434</v>
      </c>
    </row>
    <row r="19" spans="1:3" x14ac:dyDescent="0.3">
      <c r="A19" s="32" t="s">
        <v>188</v>
      </c>
      <c r="B19" s="33" t="s">
        <v>195</v>
      </c>
      <c r="C19" s="34">
        <v>6072</v>
      </c>
    </row>
    <row r="20" spans="1:3" x14ac:dyDescent="0.3">
      <c r="A20" s="35" t="s">
        <v>188</v>
      </c>
      <c r="B20" s="36" t="s">
        <v>195</v>
      </c>
      <c r="C20" s="37">
        <v>6663</v>
      </c>
    </row>
    <row r="21" spans="1:3" x14ac:dyDescent="0.3">
      <c r="A21" s="32" t="s">
        <v>188</v>
      </c>
      <c r="B21" s="33" t="s">
        <v>195</v>
      </c>
      <c r="C21" s="34">
        <v>8277</v>
      </c>
    </row>
    <row r="22" spans="1:3" x14ac:dyDescent="0.3">
      <c r="A22" s="41" t="s">
        <v>306</v>
      </c>
      <c r="B22" s="33"/>
      <c r="C22" s="34">
        <f>SUBTOTAL(9,C18:C21)</f>
        <v>26446</v>
      </c>
    </row>
    <row r="23" spans="1:3" x14ac:dyDescent="0.3">
      <c r="A23" s="35" t="s">
        <v>203</v>
      </c>
      <c r="B23" s="36" t="s">
        <v>195</v>
      </c>
      <c r="C23" s="37">
        <v>4578</v>
      </c>
    </row>
    <row r="24" spans="1:3" x14ac:dyDescent="0.3">
      <c r="A24" s="32" t="s">
        <v>203</v>
      </c>
      <c r="B24" s="33" t="s">
        <v>195</v>
      </c>
      <c r="C24" s="34">
        <v>6140</v>
      </c>
    </row>
    <row r="25" spans="1:3" x14ac:dyDescent="0.3">
      <c r="A25" s="35" t="s">
        <v>203</v>
      </c>
      <c r="B25" s="36" t="s">
        <v>195</v>
      </c>
      <c r="C25" s="37">
        <v>6182</v>
      </c>
    </row>
    <row r="26" spans="1:3" x14ac:dyDescent="0.3">
      <c r="A26" s="32" t="s">
        <v>203</v>
      </c>
      <c r="B26" s="33" t="s">
        <v>195</v>
      </c>
      <c r="C26" s="34">
        <v>8280</v>
      </c>
    </row>
    <row r="27" spans="1:3" x14ac:dyDescent="0.3">
      <c r="A27" s="41" t="s">
        <v>307</v>
      </c>
      <c r="B27" s="33"/>
      <c r="C27" s="34">
        <f>SUBTOTAL(9,C23:C26)</f>
        <v>25180</v>
      </c>
    </row>
    <row r="28" spans="1:3" x14ac:dyDescent="0.3">
      <c r="A28" s="35" t="s">
        <v>201</v>
      </c>
      <c r="B28" s="36" t="s">
        <v>195</v>
      </c>
      <c r="C28" s="37">
        <v>5123</v>
      </c>
    </row>
    <row r="29" spans="1:3" x14ac:dyDescent="0.3">
      <c r="A29" s="32" t="s">
        <v>201</v>
      </c>
      <c r="B29" s="33" t="s">
        <v>195</v>
      </c>
      <c r="C29" s="34">
        <v>5177</v>
      </c>
    </row>
    <row r="30" spans="1:3" x14ac:dyDescent="0.3">
      <c r="A30" s="35" t="s">
        <v>201</v>
      </c>
      <c r="B30" s="36" t="s">
        <v>195</v>
      </c>
      <c r="C30" s="37">
        <v>6840</v>
      </c>
    </row>
    <row r="31" spans="1:3" x14ac:dyDescent="0.3">
      <c r="A31" s="32" t="s">
        <v>201</v>
      </c>
      <c r="B31" s="33" t="s">
        <v>195</v>
      </c>
      <c r="C31" s="34">
        <v>9182</v>
      </c>
    </row>
    <row r="32" spans="1:3" x14ac:dyDescent="0.3">
      <c r="A32" s="41" t="s">
        <v>308</v>
      </c>
      <c r="B32" s="33"/>
      <c r="C32" s="34">
        <f>SUBTOTAL(9,C28:C31)</f>
        <v>26322</v>
      </c>
    </row>
    <row r="33" spans="1:3" x14ac:dyDescent="0.3">
      <c r="A33" s="35" t="s">
        <v>186</v>
      </c>
      <c r="B33" s="36" t="s">
        <v>195</v>
      </c>
      <c r="C33" s="37">
        <v>2707</v>
      </c>
    </row>
    <row r="34" spans="1:3" x14ac:dyDescent="0.3">
      <c r="A34" s="32" t="s">
        <v>186</v>
      </c>
      <c r="B34" s="33" t="s">
        <v>195</v>
      </c>
      <c r="C34" s="34">
        <v>4431</v>
      </c>
    </row>
    <row r="35" spans="1:3" x14ac:dyDescent="0.3">
      <c r="A35" s="35" t="s">
        <v>186</v>
      </c>
      <c r="B35" s="36" t="s">
        <v>195</v>
      </c>
      <c r="C35" s="37">
        <v>5634</v>
      </c>
    </row>
    <row r="36" spans="1:3" x14ac:dyDescent="0.3">
      <c r="A36" s="32" t="s">
        <v>186</v>
      </c>
      <c r="B36" s="33" t="s">
        <v>195</v>
      </c>
      <c r="C36" s="34">
        <v>8291</v>
      </c>
    </row>
    <row r="37" spans="1:3" x14ac:dyDescent="0.3">
      <c r="A37" s="41" t="s">
        <v>309</v>
      </c>
      <c r="B37" s="33"/>
      <c r="C37" s="34">
        <f>SUBTOTAL(9,C33:C36)</f>
        <v>21063</v>
      </c>
    </row>
    <row r="38" spans="1:3" x14ac:dyDescent="0.3">
      <c r="A38" s="35" t="s">
        <v>198</v>
      </c>
      <c r="B38" s="36" t="s">
        <v>195</v>
      </c>
      <c r="C38" s="37">
        <v>4130</v>
      </c>
    </row>
    <row r="39" spans="1:3" x14ac:dyDescent="0.3">
      <c r="A39" s="32" t="s">
        <v>198</v>
      </c>
      <c r="B39" s="33" t="s">
        <v>195</v>
      </c>
      <c r="C39" s="34">
        <v>5183</v>
      </c>
    </row>
    <row r="40" spans="1:3" x14ac:dyDescent="0.3">
      <c r="A40" s="35" t="s">
        <v>198</v>
      </c>
      <c r="B40" s="36" t="s">
        <v>195</v>
      </c>
      <c r="C40" s="37">
        <v>5708</v>
      </c>
    </row>
    <row r="41" spans="1:3" x14ac:dyDescent="0.3">
      <c r="A41" s="32" t="s">
        <v>198</v>
      </c>
      <c r="B41" s="33" t="s">
        <v>195</v>
      </c>
      <c r="C41" s="34">
        <v>6198</v>
      </c>
    </row>
    <row r="42" spans="1:3" x14ac:dyDescent="0.3">
      <c r="A42" s="41" t="s">
        <v>310</v>
      </c>
      <c r="B42" s="33"/>
      <c r="C42" s="34">
        <f>SUBTOTAL(9,C38:C41)</f>
        <v>21219</v>
      </c>
    </row>
    <row r="43" spans="1:3" x14ac:dyDescent="0.3">
      <c r="A43" s="35" t="s">
        <v>187</v>
      </c>
      <c r="B43" s="36" t="s">
        <v>195</v>
      </c>
      <c r="C43" s="37">
        <v>2994</v>
      </c>
    </row>
    <row r="44" spans="1:3" x14ac:dyDescent="0.3">
      <c r="A44" s="32" t="s">
        <v>187</v>
      </c>
      <c r="B44" s="33" t="s">
        <v>195</v>
      </c>
      <c r="C44" s="34">
        <v>5111</v>
      </c>
    </row>
    <row r="45" spans="1:3" x14ac:dyDescent="0.3">
      <c r="A45" s="35" t="s">
        <v>187</v>
      </c>
      <c r="B45" s="36" t="s">
        <v>195</v>
      </c>
      <c r="C45" s="37">
        <v>7698</v>
      </c>
    </row>
    <row r="46" spans="1:3" x14ac:dyDescent="0.3">
      <c r="A46" s="32" t="s">
        <v>187</v>
      </c>
      <c r="B46" s="33" t="s">
        <v>195</v>
      </c>
      <c r="C46" s="34">
        <v>8945</v>
      </c>
    </row>
    <row r="47" spans="1:3" x14ac:dyDescent="0.3">
      <c r="A47" s="41" t="s">
        <v>311</v>
      </c>
      <c r="B47" s="33"/>
      <c r="C47" s="34">
        <f>SUBTOTAL(9,C43:C46)</f>
        <v>24748</v>
      </c>
    </row>
    <row r="48" spans="1:3" x14ac:dyDescent="0.3">
      <c r="A48" s="35" t="s">
        <v>200</v>
      </c>
      <c r="B48" s="36" t="s">
        <v>194</v>
      </c>
      <c r="C48" s="37">
        <v>5925</v>
      </c>
    </row>
    <row r="49" spans="1:3" x14ac:dyDescent="0.3">
      <c r="A49" s="42" t="s">
        <v>305</v>
      </c>
      <c r="B49" s="36"/>
      <c r="C49" s="37">
        <f>SUBTOTAL(9,C48:C48)</f>
        <v>5925</v>
      </c>
    </row>
    <row r="50" spans="1:3" x14ac:dyDescent="0.3">
      <c r="A50" s="32" t="s">
        <v>199</v>
      </c>
      <c r="B50" s="33" t="s">
        <v>194</v>
      </c>
      <c r="C50" s="34">
        <v>3295</v>
      </c>
    </row>
    <row r="51" spans="1:3" x14ac:dyDescent="0.3">
      <c r="A51" s="35" t="s">
        <v>199</v>
      </c>
      <c r="B51" s="36" t="s">
        <v>194</v>
      </c>
      <c r="C51" s="37">
        <v>7380</v>
      </c>
    </row>
    <row r="52" spans="1:3" x14ac:dyDescent="0.3">
      <c r="A52" s="32" t="s">
        <v>199</v>
      </c>
      <c r="B52" s="33" t="s">
        <v>194</v>
      </c>
      <c r="C52" s="34">
        <v>8338</v>
      </c>
    </row>
    <row r="53" spans="1:3" x14ac:dyDescent="0.3">
      <c r="A53" s="35" t="s">
        <v>199</v>
      </c>
      <c r="B53" s="36" t="s">
        <v>194</v>
      </c>
      <c r="C53" s="37">
        <v>9036</v>
      </c>
    </row>
    <row r="54" spans="1:3" x14ac:dyDescent="0.3">
      <c r="A54" s="42" t="s">
        <v>312</v>
      </c>
      <c r="B54" s="36"/>
      <c r="C54" s="37">
        <f>SUBTOTAL(9,C50:C53)</f>
        <v>28049</v>
      </c>
    </row>
    <row r="55" spans="1:3" x14ac:dyDescent="0.3">
      <c r="A55" s="32" t="s">
        <v>202</v>
      </c>
      <c r="B55" s="33" t="s">
        <v>194</v>
      </c>
      <c r="C55" s="34">
        <v>3812</v>
      </c>
    </row>
    <row r="56" spans="1:3" x14ac:dyDescent="0.3">
      <c r="A56" s="35" t="s">
        <v>202</v>
      </c>
      <c r="B56" s="36" t="s">
        <v>194</v>
      </c>
      <c r="C56" s="37">
        <v>6393</v>
      </c>
    </row>
    <row r="57" spans="1:3" x14ac:dyDescent="0.3">
      <c r="A57" s="32" t="s">
        <v>202</v>
      </c>
      <c r="B57" s="33" t="s">
        <v>194</v>
      </c>
      <c r="C57" s="34">
        <v>9100</v>
      </c>
    </row>
    <row r="58" spans="1:3" x14ac:dyDescent="0.3">
      <c r="A58" s="35" t="s">
        <v>202</v>
      </c>
      <c r="B58" s="36" t="s">
        <v>194</v>
      </c>
      <c r="C58" s="37">
        <v>9262</v>
      </c>
    </row>
    <row r="59" spans="1:3" x14ac:dyDescent="0.3">
      <c r="A59" s="42" t="s">
        <v>313</v>
      </c>
      <c r="B59" s="36"/>
      <c r="C59" s="37">
        <f>SUBTOTAL(9,C55:C58)</f>
        <v>28567</v>
      </c>
    </row>
    <row r="60" spans="1:3" x14ac:dyDescent="0.3">
      <c r="A60" s="32" t="s">
        <v>196</v>
      </c>
      <c r="B60" s="33" t="s">
        <v>194</v>
      </c>
      <c r="C60" s="34">
        <v>6009</v>
      </c>
    </row>
    <row r="61" spans="1:3" x14ac:dyDescent="0.3">
      <c r="A61" s="35" t="s">
        <v>196</v>
      </c>
      <c r="B61" s="36" t="s">
        <v>194</v>
      </c>
      <c r="C61" s="37">
        <v>6169</v>
      </c>
    </row>
    <row r="62" spans="1:3" x14ac:dyDescent="0.3">
      <c r="A62" s="32" t="s">
        <v>196</v>
      </c>
      <c r="B62" s="33" t="s">
        <v>194</v>
      </c>
      <c r="C62" s="34">
        <v>6356</v>
      </c>
    </row>
    <row r="63" spans="1:3" x14ac:dyDescent="0.3">
      <c r="A63" s="35" t="s">
        <v>196</v>
      </c>
      <c r="B63" s="36" t="s">
        <v>194</v>
      </c>
      <c r="C63" s="37">
        <v>6522</v>
      </c>
    </row>
    <row r="64" spans="1:3" x14ac:dyDescent="0.3">
      <c r="A64" s="42" t="s">
        <v>314</v>
      </c>
      <c r="B64" s="36"/>
      <c r="C64" s="37">
        <f>SUBTOTAL(9,C60:C63)</f>
        <v>25056</v>
      </c>
    </row>
    <row r="65" spans="1:3" x14ac:dyDescent="0.3">
      <c r="A65" s="32" t="s">
        <v>185</v>
      </c>
      <c r="B65" s="33" t="s">
        <v>194</v>
      </c>
      <c r="C65" s="34">
        <v>5178</v>
      </c>
    </row>
    <row r="66" spans="1:3" x14ac:dyDescent="0.3">
      <c r="A66" s="35" t="s">
        <v>185</v>
      </c>
      <c r="B66" s="36" t="s">
        <v>194</v>
      </c>
      <c r="C66" s="37">
        <v>6796</v>
      </c>
    </row>
    <row r="67" spans="1:3" x14ac:dyDescent="0.3">
      <c r="A67" s="32" t="s">
        <v>185</v>
      </c>
      <c r="B67" s="33" t="s">
        <v>194</v>
      </c>
      <c r="C67" s="34">
        <v>7961</v>
      </c>
    </row>
    <row r="68" spans="1:3" x14ac:dyDescent="0.3">
      <c r="A68" s="35" t="s">
        <v>185</v>
      </c>
      <c r="B68" s="36" t="s">
        <v>194</v>
      </c>
      <c r="C68" s="37">
        <v>8464</v>
      </c>
    </row>
    <row r="69" spans="1:3" x14ac:dyDescent="0.3">
      <c r="A69" s="42" t="s">
        <v>315</v>
      </c>
      <c r="B69" s="36"/>
      <c r="C69" s="37">
        <f>SUBTOTAL(9,C65:C68)</f>
        <v>28399</v>
      </c>
    </row>
    <row r="70" spans="1:3" x14ac:dyDescent="0.3">
      <c r="A70" s="32" t="s">
        <v>204</v>
      </c>
      <c r="B70" s="33" t="s">
        <v>194</v>
      </c>
      <c r="C70" s="34">
        <v>3868</v>
      </c>
    </row>
    <row r="71" spans="1:3" x14ac:dyDescent="0.3">
      <c r="A71" s="35" t="s">
        <v>204</v>
      </c>
      <c r="B71" s="36" t="s">
        <v>194</v>
      </c>
      <c r="C71" s="37">
        <v>4058</v>
      </c>
    </row>
    <row r="72" spans="1:3" x14ac:dyDescent="0.3">
      <c r="A72" s="32" t="s">
        <v>204</v>
      </c>
      <c r="B72" s="33" t="s">
        <v>194</v>
      </c>
      <c r="C72" s="34">
        <v>6651</v>
      </c>
    </row>
    <row r="73" spans="1:3" x14ac:dyDescent="0.3">
      <c r="A73" s="35" t="s">
        <v>204</v>
      </c>
      <c r="B73" s="36" t="s">
        <v>194</v>
      </c>
      <c r="C73" s="37">
        <v>7431</v>
      </c>
    </row>
    <row r="74" spans="1:3" x14ac:dyDescent="0.3">
      <c r="A74" s="42" t="s">
        <v>316</v>
      </c>
      <c r="B74" s="36"/>
      <c r="C74" s="37">
        <f>SUBTOTAL(9,C70:C73)</f>
        <v>22008</v>
      </c>
    </row>
    <row r="75" spans="1:3" x14ac:dyDescent="0.3">
      <c r="A75" s="32" t="s">
        <v>197</v>
      </c>
      <c r="B75" s="33" t="s">
        <v>194</v>
      </c>
      <c r="C75" s="34">
        <v>2810</v>
      </c>
    </row>
    <row r="76" spans="1:3" x14ac:dyDescent="0.3">
      <c r="A76" s="35" t="s">
        <v>197</v>
      </c>
      <c r="B76" s="36" t="s">
        <v>194</v>
      </c>
      <c r="C76" s="37">
        <v>3114</v>
      </c>
    </row>
    <row r="77" spans="1:3" x14ac:dyDescent="0.3">
      <c r="A77" s="32" t="s">
        <v>197</v>
      </c>
      <c r="B77" s="33" t="s">
        <v>194</v>
      </c>
      <c r="C77" s="34">
        <v>6005</v>
      </c>
    </row>
    <row r="78" spans="1:3" x14ac:dyDescent="0.3">
      <c r="A78" s="35" t="s">
        <v>197</v>
      </c>
      <c r="B78" s="36" t="s">
        <v>194</v>
      </c>
      <c r="C78" s="37">
        <v>6565</v>
      </c>
    </row>
    <row r="79" spans="1:3" x14ac:dyDescent="0.3">
      <c r="A79" s="42" t="s">
        <v>317</v>
      </c>
      <c r="B79" s="36"/>
      <c r="C79" s="37">
        <f>SUBTOTAL(9,C75:C78)</f>
        <v>18494</v>
      </c>
    </row>
    <row r="80" spans="1:3" x14ac:dyDescent="0.3">
      <c r="A80" s="32" t="s">
        <v>187</v>
      </c>
      <c r="B80" s="33" t="s">
        <v>194</v>
      </c>
      <c r="C80" s="34">
        <v>3766</v>
      </c>
    </row>
    <row r="81" spans="1:3" x14ac:dyDescent="0.3">
      <c r="A81" s="35" t="s">
        <v>187</v>
      </c>
      <c r="B81" s="36" t="s">
        <v>194</v>
      </c>
      <c r="C81" s="37">
        <v>5021</v>
      </c>
    </row>
    <row r="82" spans="1:3" x14ac:dyDescent="0.3">
      <c r="A82" s="32" t="s">
        <v>187</v>
      </c>
      <c r="B82" s="33" t="s">
        <v>194</v>
      </c>
      <c r="C82" s="34">
        <v>6089</v>
      </c>
    </row>
    <row r="83" spans="1:3" x14ac:dyDescent="0.3">
      <c r="A83" s="35" t="s">
        <v>187</v>
      </c>
      <c r="B83" s="36" t="s">
        <v>194</v>
      </c>
      <c r="C83" s="37">
        <v>6368</v>
      </c>
    </row>
    <row r="84" spans="1:3" x14ac:dyDescent="0.3">
      <c r="A84" s="32" t="s">
        <v>187</v>
      </c>
      <c r="B84" s="33" t="s">
        <v>194</v>
      </c>
      <c r="C84" s="34">
        <v>6968</v>
      </c>
    </row>
    <row r="85" spans="1:3" x14ac:dyDescent="0.3">
      <c r="A85" s="35" t="s">
        <v>187</v>
      </c>
      <c r="B85" s="36" t="s">
        <v>194</v>
      </c>
      <c r="C85" s="37">
        <v>7317</v>
      </c>
    </row>
    <row r="86" spans="1:3" x14ac:dyDescent="0.3">
      <c r="A86" s="32" t="s">
        <v>187</v>
      </c>
      <c r="B86" s="33" t="s">
        <v>194</v>
      </c>
      <c r="C86" s="34">
        <v>8429</v>
      </c>
    </row>
    <row r="87" spans="1:3" x14ac:dyDescent="0.3">
      <c r="A87" s="38" t="s">
        <v>187</v>
      </c>
      <c r="B87" s="39" t="s">
        <v>194</v>
      </c>
      <c r="C87" s="40">
        <v>8575</v>
      </c>
    </row>
    <row r="88" spans="1:3" x14ac:dyDescent="0.3">
      <c r="A88" s="45" t="s">
        <v>311</v>
      </c>
      <c r="B88" s="43"/>
      <c r="C88" s="44">
        <f>SUBTOTAL(9,C80:C87)</f>
        <v>52533</v>
      </c>
    </row>
    <row r="89" spans="1:3" x14ac:dyDescent="0.3">
      <c r="A89" s="45" t="s">
        <v>318</v>
      </c>
      <c r="B89" s="43"/>
      <c r="C89" s="44">
        <f>SUBTOTAL(9,C14:C87)</f>
        <v>371396</v>
      </c>
    </row>
  </sheetData>
  <sortState ref="A14:C87">
    <sortCondition ref="B14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7E5D-CF30-4E2D-A3FF-A4C0E1D9DA28}">
  <dimension ref="A1:J44"/>
  <sheetViews>
    <sheetView topLeftCell="A10" zoomScale="115" zoomScaleNormal="115" workbookViewId="0">
      <selection activeCell="K16" sqref="K16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2.109375" customWidth="1"/>
    <col min="8" max="8" width="11.109375" customWidth="1"/>
    <col min="9" max="9" width="15.6640625" customWidth="1"/>
  </cols>
  <sheetData>
    <row r="1" spans="1:10" x14ac:dyDescent="0.3">
      <c r="A1" s="4" t="s">
        <v>143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  <c r="J1" s="5"/>
    </row>
    <row r="2" spans="1:10" x14ac:dyDescent="0.3">
      <c r="A2">
        <v>43344</v>
      </c>
      <c r="B2" t="s">
        <v>152</v>
      </c>
      <c r="C2" t="s">
        <v>169</v>
      </c>
      <c r="D2" t="s">
        <v>175</v>
      </c>
      <c r="E2" t="s">
        <v>172</v>
      </c>
      <c r="F2">
        <v>2</v>
      </c>
      <c r="G2">
        <v>125</v>
      </c>
      <c r="H2">
        <v>250</v>
      </c>
      <c r="I2" t="s">
        <v>177</v>
      </c>
    </row>
    <row r="3" spans="1:10" x14ac:dyDescent="0.3">
      <c r="A3">
        <v>43701</v>
      </c>
      <c r="B3" t="s">
        <v>168</v>
      </c>
      <c r="C3" t="s">
        <v>159</v>
      </c>
      <c r="D3" t="s">
        <v>171</v>
      </c>
      <c r="E3" t="s">
        <v>172</v>
      </c>
      <c r="F3">
        <v>3</v>
      </c>
      <c r="G3">
        <v>125</v>
      </c>
      <c r="H3">
        <v>375</v>
      </c>
      <c r="I3" s="24" t="s">
        <v>156</v>
      </c>
    </row>
    <row r="4" spans="1:10" x14ac:dyDescent="0.3">
      <c r="A4">
        <v>43633</v>
      </c>
      <c r="B4" t="s">
        <v>303</v>
      </c>
      <c r="C4" t="s">
        <v>153</v>
      </c>
      <c r="D4" t="s">
        <v>154</v>
      </c>
      <c r="E4" t="s">
        <v>172</v>
      </c>
      <c r="F4">
        <v>5</v>
      </c>
      <c r="G4">
        <v>125</v>
      </c>
      <c r="H4">
        <v>625</v>
      </c>
      <c r="I4" t="s">
        <v>173</v>
      </c>
    </row>
    <row r="5" spans="1:10" x14ac:dyDescent="0.3">
      <c r="A5">
        <v>43361</v>
      </c>
      <c r="B5" t="s">
        <v>162</v>
      </c>
      <c r="C5" t="s">
        <v>163</v>
      </c>
      <c r="D5" t="s">
        <v>164</v>
      </c>
      <c r="E5" t="s">
        <v>167</v>
      </c>
      <c r="F5">
        <v>16</v>
      </c>
      <c r="G5">
        <v>58.5</v>
      </c>
      <c r="H5">
        <v>936</v>
      </c>
      <c r="I5" t="s">
        <v>178</v>
      </c>
    </row>
    <row r="6" spans="1:10" x14ac:dyDescent="0.3">
      <c r="A6">
        <v>43514</v>
      </c>
      <c r="B6" t="s">
        <v>162</v>
      </c>
      <c r="C6" t="s">
        <v>163</v>
      </c>
      <c r="D6" t="s">
        <v>164</v>
      </c>
      <c r="E6" t="s">
        <v>155</v>
      </c>
      <c r="F6">
        <v>4</v>
      </c>
      <c r="G6">
        <v>500</v>
      </c>
      <c r="H6">
        <v>2000</v>
      </c>
      <c r="I6" s="24" t="s">
        <v>156</v>
      </c>
    </row>
    <row r="7" spans="1:10" x14ac:dyDescent="0.3">
      <c r="A7">
        <v>43684</v>
      </c>
      <c r="B7" t="s">
        <v>152</v>
      </c>
      <c r="C7" t="s">
        <v>153</v>
      </c>
      <c r="D7" t="s">
        <v>154</v>
      </c>
      <c r="E7" t="s">
        <v>167</v>
      </c>
      <c r="F7">
        <v>42</v>
      </c>
      <c r="G7">
        <v>58.5</v>
      </c>
      <c r="H7">
        <v>2457</v>
      </c>
      <c r="I7" t="s">
        <v>177</v>
      </c>
    </row>
    <row r="8" spans="1:10" x14ac:dyDescent="0.3">
      <c r="A8">
        <v>43548</v>
      </c>
      <c r="B8" t="s">
        <v>152</v>
      </c>
      <c r="C8" t="s">
        <v>153</v>
      </c>
      <c r="D8" t="s">
        <v>161</v>
      </c>
      <c r="E8" t="s">
        <v>167</v>
      </c>
      <c r="F8">
        <v>50</v>
      </c>
      <c r="G8">
        <v>58.5</v>
      </c>
      <c r="H8">
        <v>2925</v>
      </c>
      <c r="I8" t="s">
        <v>177</v>
      </c>
    </row>
    <row r="9" spans="1:10" x14ac:dyDescent="0.3">
      <c r="A9">
        <v>43667</v>
      </c>
      <c r="B9" t="s">
        <v>303</v>
      </c>
      <c r="C9" t="s">
        <v>153</v>
      </c>
      <c r="D9" t="s">
        <v>157</v>
      </c>
      <c r="E9" t="s">
        <v>167</v>
      </c>
      <c r="F9">
        <v>55</v>
      </c>
      <c r="G9">
        <v>58.5</v>
      </c>
      <c r="H9">
        <v>3217.5</v>
      </c>
      <c r="I9" t="s">
        <v>173</v>
      </c>
    </row>
    <row r="10" spans="1:10" x14ac:dyDescent="0.3">
      <c r="A10">
        <v>43412</v>
      </c>
      <c r="B10" t="s">
        <v>162</v>
      </c>
      <c r="C10" t="s">
        <v>169</v>
      </c>
      <c r="D10" t="s">
        <v>176</v>
      </c>
      <c r="E10" t="s">
        <v>166</v>
      </c>
      <c r="F10">
        <v>15</v>
      </c>
      <c r="G10">
        <v>225</v>
      </c>
      <c r="H10">
        <v>3375</v>
      </c>
      <c r="I10" t="s">
        <v>173</v>
      </c>
    </row>
    <row r="11" spans="1:10" x14ac:dyDescent="0.3">
      <c r="A11">
        <v>43531</v>
      </c>
      <c r="B11" t="s">
        <v>168</v>
      </c>
      <c r="C11" t="s">
        <v>159</v>
      </c>
      <c r="D11" t="s">
        <v>171</v>
      </c>
      <c r="E11" t="s">
        <v>155</v>
      </c>
      <c r="F11">
        <v>7</v>
      </c>
      <c r="G11">
        <v>500</v>
      </c>
      <c r="H11">
        <v>3500</v>
      </c>
      <c r="I11" t="s">
        <v>173</v>
      </c>
    </row>
    <row r="12" spans="1:10" x14ac:dyDescent="0.3">
      <c r="A12">
        <v>43650</v>
      </c>
      <c r="B12" t="s">
        <v>162</v>
      </c>
      <c r="C12" t="s">
        <v>163</v>
      </c>
      <c r="D12" t="s">
        <v>164</v>
      </c>
      <c r="E12" t="s">
        <v>167</v>
      </c>
      <c r="F12">
        <v>62</v>
      </c>
      <c r="G12">
        <v>58.5</v>
      </c>
      <c r="H12">
        <v>3627</v>
      </c>
      <c r="I12" s="24" t="s">
        <v>156</v>
      </c>
    </row>
    <row r="13" spans="1:10" x14ac:dyDescent="0.3">
      <c r="A13">
        <v>43463</v>
      </c>
      <c r="B13" t="s">
        <v>162</v>
      </c>
      <c r="C13" t="s">
        <v>169</v>
      </c>
      <c r="D13" t="s">
        <v>176</v>
      </c>
      <c r="E13" t="s">
        <v>167</v>
      </c>
      <c r="F13">
        <v>74</v>
      </c>
      <c r="G13">
        <v>58.5</v>
      </c>
      <c r="H13">
        <v>4329</v>
      </c>
      <c r="I13" t="s">
        <v>173</v>
      </c>
    </row>
    <row r="14" spans="1:10" x14ac:dyDescent="0.3">
      <c r="A14">
        <v>43786</v>
      </c>
      <c r="B14" t="s">
        <v>303</v>
      </c>
      <c r="C14" t="s">
        <v>153</v>
      </c>
      <c r="D14" t="s">
        <v>161</v>
      </c>
      <c r="E14" t="s">
        <v>155</v>
      </c>
      <c r="F14">
        <v>11</v>
      </c>
      <c r="G14">
        <v>500</v>
      </c>
      <c r="H14">
        <v>5500</v>
      </c>
      <c r="I14" t="s">
        <v>173</v>
      </c>
    </row>
    <row r="15" spans="1:10" x14ac:dyDescent="0.3">
      <c r="A15">
        <v>43429</v>
      </c>
      <c r="B15" t="s">
        <v>152</v>
      </c>
      <c r="C15" t="s">
        <v>153</v>
      </c>
      <c r="D15" t="s">
        <v>154</v>
      </c>
      <c r="E15" t="s">
        <v>167</v>
      </c>
      <c r="F15">
        <v>96</v>
      </c>
      <c r="G15">
        <v>58.5</v>
      </c>
      <c r="H15">
        <v>5616</v>
      </c>
      <c r="I15" t="s">
        <v>177</v>
      </c>
    </row>
    <row r="16" spans="1:10" x14ac:dyDescent="0.3">
      <c r="A16">
        <v>43157</v>
      </c>
      <c r="B16" t="s">
        <v>152</v>
      </c>
      <c r="C16" t="s">
        <v>159</v>
      </c>
      <c r="D16" t="s">
        <v>160</v>
      </c>
      <c r="E16" t="s">
        <v>166</v>
      </c>
      <c r="F16">
        <v>27</v>
      </c>
      <c r="G16">
        <v>225</v>
      </c>
      <c r="H16">
        <v>6075</v>
      </c>
      <c r="I16" t="s">
        <v>177</v>
      </c>
    </row>
    <row r="17" spans="1:9" x14ac:dyDescent="0.3">
      <c r="A17">
        <v>43718</v>
      </c>
      <c r="B17" t="s">
        <v>303</v>
      </c>
      <c r="C17" t="s">
        <v>159</v>
      </c>
      <c r="D17" t="s">
        <v>160</v>
      </c>
      <c r="E17" t="s">
        <v>158</v>
      </c>
      <c r="F17">
        <v>7</v>
      </c>
      <c r="G17">
        <v>1198</v>
      </c>
      <c r="H17">
        <v>8386</v>
      </c>
      <c r="I17" t="s">
        <v>173</v>
      </c>
    </row>
    <row r="18" spans="1:9" x14ac:dyDescent="0.3">
      <c r="A18">
        <v>43378</v>
      </c>
      <c r="B18" t="s">
        <v>152</v>
      </c>
      <c r="C18" t="s">
        <v>153</v>
      </c>
      <c r="D18" t="s">
        <v>157</v>
      </c>
      <c r="E18" t="s">
        <v>155</v>
      </c>
      <c r="F18">
        <v>28</v>
      </c>
      <c r="G18">
        <v>500</v>
      </c>
      <c r="H18">
        <v>14000</v>
      </c>
      <c r="I18" s="24" t="s">
        <v>156</v>
      </c>
    </row>
    <row r="19" spans="1:9" x14ac:dyDescent="0.3">
      <c r="A19">
        <v>43820</v>
      </c>
      <c r="B19" t="s">
        <v>303</v>
      </c>
      <c r="C19" t="s">
        <v>163</v>
      </c>
      <c r="D19" t="s">
        <v>174</v>
      </c>
      <c r="E19" t="s">
        <v>155</v>
      </c>
      <c r="F19">
        <v>28</v>
      </c>
      <c r="G19">
        <v>500</v>
      </c>
      <c r="H19">
        <v>14000</v>
      </c>
      <c r="I19" t="s">
        <v>173</v>
      </c>
    </row>
    <row r="20" spans="1:9" x14ac:dyDescent="0.3">
      <c r="A20">
        <v>43395</v>
      </c>
      <c r="B20" t="s">
        <v>162</v>
      </c>
      <c r="C20" t="s">
        <v>163</v>
      </c>
      <c r="D20" t="s">
        <v>164</v>
      </c>
      <c r="E20" t="s">
        <v>166</v>
      </c>
      <c r="F20">
        <v>64</v>
      </c>
      <c r="G20">
        <v>225</v>
      </c>
      <c r="H20">
        <v>14400</v>
      </c>
      <c r="I20" t="s">
        <v>177</v>
      </c>
    </row>
    <row r="21" spans="1:9" x14ac:dyDescent="0.3">
      <c r="A21">
        <v>43293</v>
      </c>
      <c r="B21" t="s">
        <v>162</v>
      </c>
      <c r="C21" t="s">
        <v>163</v>
      </c>
      <c r="D21" t="s">
        <v>165</v>
      </c>
      <c r="E21" t="s">
        <v>155</v>
      </c>
      <c r="F21">
        <v>29</v>
      </c>
      <c r="G21">
        <v>500</v>
      </c>
      <c r="H21">
        <v>14500</v>
      </c>
      <c r="I21" t="s">
        <v>173</v>
      </c>
    </row>
    <row r="22" spans="1:9" x14ac:dyDescent="0.3">
      <c r="A22">
        <v>43769</v>
      </c>
      <c r="B22" t="s">
        <v>303</v>
      </c>
      <c r="C22" t="s">
        <v>163</v>
      </c>
      <c r="D22" t="s">
        <v>174</v>
      </c>
      <c r="E22" t="s">
        <v>158</v>
      </c>
      <c r="F22">
        <v>14</v>
      </c>
      <c r="G22">
        <v>1198</v>
      </c>
      <c r="H22">
        <v>16772</v>
      </c>
      <c r="I22" t="s">
        <v>173</v>
      </c>
    </row>
    <row r="23" spans="1:9" x14ac:dyDescent="0.3">
      <c r="A23">
        <v>43735</v>
      </c>
      <c r="B23" t="s">
        <v>168</v>
      </c>
      <c r="C23" t="s">
        <v>159</v>
      </c>
      <c r="D23" t="s">
        <v>171</v>
      </c>
      <c r="E23" t="s">
        <v>166</v>
      </c>
      <c r="F23">
        <v>76</v>
      </c>
      <c r="G23">
        <v>225</v>
      </c>
      <c r="H23">
        <v>17100</v>
      </c>
      <c r="I23" t="s">
        <v>177</v>
      </c>
    </row>
    <row r="24" spans="1:9" x14ac:dyDescent="0.3">
      <c r="A24">
        <v>43582</v>
      </c>
      <c r="B24" t="s">
        <v>162</v>
      </c>
      <c r="C24" t="s">
        <v>163</v>
      </c>
      <c r="D24" t="s">
        <v>165</v>
      </c>
      <c r="E24" t="s">
        <v>166</v>
      </c>
      <c r="F24">
        <v>96</v>
      </c>
      <c r="G24">
        <v>225</v>
      </c>
      <c r="H24">
        <v>21600</v>
      </c>
      <c r="I24" s="24" t="s">
        <v>156</v>
      </c>
    </row>
    <row r="25" spans="1:9" x14ac:dyDescent="0.3">
      <c r="A25">
        <v>43480</v>
      </c>
      <c r="B25" t="s">
        <v>152</v>
      </c>
      <c r="C25" t="s">
        <v>159</v>
      </c>
      <c r="D25" t="s">
        <v>160</v>
      </c>
      <c r="E25" t="s">
        <v>155</v>
      </c>
      <c r="F25">
        <v>46</v>
      </c>
      <c r="G25">
        <v>500</v>
      </c>
      <c r="H25">
        <v>23000</v>
      </c>
      <c r="I25" t="s">
        <v>177</v>
      </c>
    </row>
    <row r="26" spans="1:9" x14ac:dyDescent="0.3">
      <c r="A26">
        <v>43123</v>
      </c>
      <c r="B26" t="s">
        <v>152</v>
      </c>
      <c r="C26" t="s">
        <v>153</v>
      </c>
      <c r="D26" t="s">
        <v>154</v>
      </c>
      <c r="E26" t="s">
        <v>155</v>
      </c>
      <c r="F26">
        <v>50</v>
      </c>
      <c r="G26">
        <v>500</v>
      </c>
      <c r="H26">
        <v>25000</v>
      </c>
      <c r="I26" s="24" t="s">
        <v>156</v>
      </c>
    </row>
    <row r="27" spans="1:9" x14ac:dyDescent="0.3">
      <c r="A27">
        <v>43752</v>
      </c>
      <c r="B27" t="s">
        <v>168</v>
      </c>
      <c r="C27" t="s">
        <v>169</v>
      </c>
      <c r="D27" t="s">
        <v>170</v>
      </c>
      <c r="E27" t="s">
        <v>155</v>
      </c>
      <c r="F27">
        <v>57</v>
      </c>
      <c r="G27">
        <v>500</v>
      </c>
      <c r="H27">
        <v>28500</v>
      </c>
      <c r="I27" s="24" t="s">
        <v>156</v>
      </c>
    </row>
    <row r="28" spans="1:9" x14ac:dyDescent="0.3">
      <c r="A28">
        <v>43191</v>
      </c>
      <c r="B28" t="s">
        <v>162</v>
      </c>
      <c r="C28" t="s">
        <v>163</v>
      </c>
      <c r="D28" t="s">
        <v>164</v>
      </c>
      <c r="E28" t="s">
        <v>155</v>
      </c>
      <c r="F28">
        <v>60</v>
      </c>
      <c r="G28">
        <v>500</v>
      </c>
      <c r="H28">
        <v>30000</v>
      </c>
      <c r="I28" s="24" t="s">
        <v>156</v>
      </c>
    </row>
    <row r="29" spans="1:9" x14ac:dyDescent="0.3">
      <c r="A29">
        <v>43259</v>
      </c>
      <c r="B29" t="s">
        <v>162</v>
      </c>
      <c r="C29" t="s">
        <v>163</v>
      </c>
      <c r="D29" t="s">
        <v>164</v>
      </c>
      <c r="E29" t="s">
        <v>155</v>
      </c>
      <c r="F29">
        <v>60</v>
      </c>
      <c r="G29">
        <v>500</v>
      </c>
      <c r="H29">
        <v>30000</v>
      </c>
      <c r="I29" t="s">
        <v>178</v>
      </c>
    </row>
    <row r="30" spans="1:9" x14ac:dyDescent="0.3">
      <c r="A30">
        <v>43242</v>
      </c>
      <c r="B30" t="s">
        <v>168</v>
      </c>
      <c r="C30" t="s">
        <v>169</v>
      </c>
      <c r="D30" t="s">
        <v>170</v>
      </c>
      <c r="E30" t="s">
        <v>158</v>
      </c>
      <c r="F30">
        <v>32</v>
      </c>
      <c r="G30">
        <v>1198</v>
      </c>
      <c r="H30">
        <v>38336</v>
      </c>
      <c r="I30" s="24" t="s">
        <v>156</v>
      </c>
    </row>
    <row r="31" spans="1:9" x14ac:dyDescent="0.3">
      <c r="A31">
        <v>43616</v>
      </c>
      <c r="B31" t="s">
        <v>152</v>
      </c>
      <c r="C31" t="s">
        <v>159</v>
      </c>
      <c r="D31" t="s">
        <v>160</v>
      </c>
      <c r="E31" t="s">
        <v>155</v>
      </c>
      <c r="F31">
        <v>80</v>
      </c>
      <c r="G31">
        <v>500</v>
      </c>
      <c r="H31">
        <v>40000</v>
      </c>
      <c r="I31" s="24" t="s">
        <v>156</v>
      </c>
    </row>
    <row r="32" spans="1:9" x14ac:dyDescent="0.3">
      <c r="A32">
        <v>43310</v>
      </c>
      <c r="B32" t="s">
        <v>162</v>
      </c>
      <c r="C32" t="s">
        <v>169</v>
      </c>
      <c r="D32" t="s">
        <v>176</v>
      </c>
      <c r="E32" t="s">
        <v>155</v>
      </c>
      <c r="F32">
        <v>81</v>
      </c>
      <c r="G32">
        <v>500</v>
      </c>
      <c r="H32">
        <v>40500</v>
      </c>
      <c r="I32" t="s">
        <v>177</v>
      </c>
    </row>
    <row r="33" spans="1:9" x14ac:dyDescent="0.3">
      <c r="A33">
        <v>43327</v>
      </c>
      <c r="B33" t="s">
        <v>162</v>
      </c>
      <c r="C33" t="s">
        <v>163</v>
      </c>
      <c r="D33" t="s">
        <v>164</v>
      </c>
      <c r="E33" t="s">
        <v>158</v>
      </c>
      <c r="F33">
        <v>35</v>
      </c>
      <c r="G33">
        <v>1198</v>
      </c>
      <c r="H33">
        <v>41930</v>
      </c>
      <c r="I33" t="s">
        <v>173</v>
      </c>
    </row>
    <row r="34" spans="1:9" x14ac:dyDescent="0.3">
      <c r="A34">
        <v>43140</v>
      </c>
      <c r="B34" t="s">
        <v>303</v>
      </c>
      <c r="C34" t="s">
        <v>153</v>
      </c>
      <c r="D34" t="s">
        <v>161</v>
      </c>
      <c r="E34" t="s">
        <v>158</v>
      </c>
      <c r="F34">
        <v>36</v>
      </c>
      <c r="G34">
        <v>1198</v>
      </c>
      <c r="H34">
        <v>43128</v>
      </c>
      <c r="I34" t="s">
        <v>173</v>
      </c>
    </row>
    <row r="35" spans="1:9" x14ac:dyDescent="0.3">
      <c r="A35">
        <v>43497</v>
      </c>
      <c r="B35" t="s">
        <v>152</v>
      </c>
      <c r="C35" t="s">
        <v>169</v>
      </c>
      <c r="D35" t="s">
        <v>175</v>
      </c>
      <c r="E35" t="s">
        <v>155</v>
      </c>
      <c r="F35">
        <v>87</v>
      </c>
      <c r="G35">
        <v>500</v>
      </c>
      <c r="H35">
        <v>43500</v>
      </c>
      <c r="I35" t="s">
        <v>178</v>
      </c>
    </row>
    <row r="36" spans="1:9" x14ac:dyDescent="0.3">
      <c r="A36">
        <v>43803</v>
      </c>
      <c r="B36" t="s">
        <v>152</v>
      </c>
      <c r="C36" t="s">
        <v>153</v>
      </c>
      <c r="D36" t="s">
        <v>161</v>
      </c>
      <c r="E36" t="s">
        <v>155</v>
      </c>
      <c r="F36">
        <v>94</v>
      </c>
      <c r="G36">
        <v>500</v>
      </c>
      <c r="H36">
        <v>47000</v>
      </c>
      <c r="I36" s="24" t="s">
        <v>156</v>
      </c>
    </row>
    <row r="37" spans="1:9" x14ac:dyDescent="0.3">
      <c r="A37">
        <v>43599</v>
      </c>
      <c r="B37" t="s">
        <v>152</v>
      </c>
      <c r="C37" t="s">
        <v>159</v>
      </c>
      <c r="D37" t="s">
        <v>160</v>
      </c>
      <c r="E37" t="s">
        <v>158</v>
      </c>
      <c r="F37">
        <v>53</v>
      </c>
      <c r="G37">
        <v>1198</v>
      </c>
      <c r="H37">
        <v>63494</v>
      </c>
      <c r="I37" t="s">
        <v>178</v>
      </c>
    </row>
    <row r="38" spans="1:9" x14ac:dyDescent="0.3">
      <c r="A38">
        <v>43174</v>
      </c>
      <c r="B38" t="s">
        <v>168</v>
      </c>
      <c r="C38" t="s">
        <v>159</v>
      </c>
      <c r="D38" t="s">
        <v>171</v>
      </c>
      <c r="E38" t="s">
        <v>158</v>
      </c>
      <c r="F38">
        <v>56</v>
      </c>
      <c r="G38">
        <v>1198</v>
      </c>
      <c r="H38">
        <v>67088</v>
      </c>
      <c r="I38" t="s">
        <v>178</v>
      </c>
    </row>
    <row r="39" spans="1:9" x14ac:dyDescent="0.3">
      <c r="A39">
        <v>43565</v>
      </c>
      <c r="B39" t="s">
        <v>303</v>
      </c>
      <c r="C39" t="s">
        <v>163</v>
      </c>
      <c r="D39" t="s">
        <v>174</v>
      </c>
      <c r="E39" t="s">
        <v>158</v>
      </c>
      <c r="F39">
        <v>66</v>
      </c>
      <c r="G39">
        <v>1198</v>
      </c>
      <c r="H39">
        <v>79068</v>
      </c>
      <c r="I39" t="s">
        <v>173</v>
      </c>
    </row>
    <row r="40" spans="1:9" x14ac:dyDescent="0.3">
      <c r="A40">
        <v>43446</v>
      </c>
      <c r="B40" t="s">
        <v>303</v>
      </c>
      <c r="C40" t="s">
        <v>169</v>
      </c>
      <c r="D40" t="s">
        <v>175</v>
      </c>
      <c r="E40" t="s">
        <v>158</v>
      </c>
      <c r="F40">
        <v>67</v>
      </c>
      <c r="G40">
        <v>1198</v>
      </c>
      <c r="H40">
        <v>80266</v>
      </c>
      <c r="I40" t="s">
        <v>173</v>
      </c>
    </row>
    <row r="41" spans="1:9" x14ac:dyDescent="0.3">
      <c r="A41">
        <v>43208</v>
      </c>
      <c r="B41" t="s">
        <v>303</v>
      </c>
      <c r="C41" t="s">
        <v>163</v>
      </c>
      <c r="D41" t="s">
        <v>174</v>
      </c>
      <c r="E41" t="s">
        <v>158</v>
      </c>
      <c r="F41">
        <v>75</v>
      </c>
      <c r="G41">
        <v>1198</v>
      </c>
      <c r="H41">
        <v>89850</v>
      </c>
      <c r="I41" t="s">
        <v>173</v>
      </c>
    </row>
    <row r="42" spans="1:9" x14ac:dyDescent="0.3">
      <c r="A42">
        <v>43276</v>
      </c>
      <c r="B42" t="s">
        <v>152</v>
      </c>
      <c r="C42" t="s">
        <v>153</v>
      </c>
      <c r="D42" t="s">
        <v>157</v>
      </c>
      <c r="E42" t="s">
        <v>158</v>
      </c>
      <c r="F42">
        <v>90</v>
      </c>
      <c r="G42">
        <v>1198</v>
      </c>
      <c r="H42">
        <v>107820</v>
      </c>
      <c r="I42" s="24" t="s">
        <v>156</v>
      </c>
    </row>
    <row r="43" spans="1:9" x14ac:dyDescent="0.3">
      <c r="A43">
        <v>43225</v>
      </c>
      <c r="B43" t="s">
        <v>152</v>
      </c>
      <c r="C43" t="s">
        <v>153</v>
      </c>
      <c r="D43" t="s">
        <v>161</v>
      </c>
      <c r="E43" t="s">
        <v>158</v>
      </c>
      <c r="F43">
        <v>90</v>
      </c>
      <c r="G43">
        <v>1198</v>
      </c>
      <c r="H43">
        <v>107820</v>
      </c>
      <c r="I43" t="s">
        <v>178</v>
      </c>
    </row>
    <row r="44" spans="1:9" x14ac:dyDescent="0.3">
      <c r="A44">
        <v>43106</v>
      </c>
      <c r="B44" t="s">
        <v>162</v>
      </c>
      <c r="C44" t="s">
        <v>163</v>
      </c>
      <c r="D44" t="s">
        <v>164</v>
      </c>
      <c r="E44" t="s">
        <v>158</v>
      </c>
      <c r="F44">
        <v>95</v>
      </c>
      <c r="G44">
        <v>1198</v>
      </c>
      <c r="H44">
        <v>113810</v>
      </c>
      <c r="I44" t="s">
        <v>178</v>
      </c>
    </row>
  </sheetData>
  <conditionalFormatting sqref="A2:I44">
    <cfRule type="containsText" dxfId="1" priority="1" operator="containsText" text="NET BANKING">
      <formula>NOT(ISERROR(SEARCH("NET BANKING",A2)))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D0BB-289B-405E-9AD6-8924ED83E74C}">
  <dimension ref="A1:S23"/>
  <sheetViews>
    <sheetView zoomScaleNormal="100" workbookViewId="0">
      <selection activeCell="K25" sqref="K25"/>
    </sheetView>
  </sheetViews>
  <sheetFormatPr defaultRowHeight="14.4" x14ac:dyDescent="0.3"/>
  <cols>
    <col min="1" max="2" width="10.21875" bestFit="1" customWidth="1"/>
    <col min="3" max="3" width="5" bestFit="1" customWidth="1"/>
    <col min="4" max="4" width="12.88671875" bestFit="1" customWidth="1"/>
    <col min="5" max="5" width="8.44140625" bestFit="1" customWidth="1"/>
    <col min="6" max="6" width="11.77734375" bestFit="1" customWidth="1"/>
    <col min="7" max="7" width="7.44140625" bestFit="1" customWidth="1"/>
    <col min="8" max="8" width="5.77734375" bestFit="1" customWidth="1"/>
    <col min="9" max="9" width="4.6640625" bestFit="1" customWidth="1"/>
    <col min="10" max="10" width="5" bestFit="1" customWidth="1"/>
    <col min="11" max="11" width="8.44140625" bestFit="1" customWidth="1"/>
    <col min="16" max="16" width="18.88671875" customWidth="1"/>
  </cols>
  <sheetData>
    <row r="1" spans="1:19" ht="15.6" x14ac:dyDescent="0.3">
      <c r="A1" s="6" t="s">
        <v>205</v>
      </c>
      <c r="B1" s="6" t="s">
        <v>206</v>
      </c>
      <c r="C1" s="6" t="s">
        <v>207</v>
      </c>
      <c r="D1" s="6" t="s">
        <v>208</v>
      </c>
      <c r="E1" s="6" t="s">
        <v>209</v>
      </c>
      <c r="F1" s="6" t="s">
        <v>210</v>
      </c>
      <c r="G1" s="6" t="s">
        <v>211</v>
      </c>
      <c r="H1" s="6" t="s">
        <v>212</v>
      </c>
      <c r="I1" s="6" t="s">
        <v>213</v>
      </c>
      <c r="J1" s="6" t="s">
        <v>214</v>
      </c>
      <c r="K1" s="6" t="s">
        <v>215</v>
      </c>
    </row>
    <row r="2" spans="1:19" x14ac:dyDescent="0.3">
      <c r="A2">
        <v>9</v>
      </c>
      <c r="B2">
        <v>16</v>
      </c>
      <c r="C2">
        <f>SUM(A2:B2)</f>
        <v>25</v>
      </c>
      <c r="D2">
        <f>PRODUCT(A2:B2)</f>
        <v>144</v>
      </c>
      <c r="E2" s="25">
        <f>A2/B2</f>
        <v>0.5625</v>
      </c>
      <c r="F2">
        <f>A2-B2</f>
        <v>-7</v>
      </c>
      <c r="G2">
        <f>POWER(A2,2)</f>
        <v>81</v>
      </c>
      <c r="H2">
        <f>POWER(A2,3)</f>
        <v>729</v>
      </c>
      <c r="P2" s="27"/>
      <c r="Q2" s="26"/>
      <c r="R2" s="26"/>
      <c r="S2" s="26"/>
    </row>
    <row r="3" spans="1:19" x14ac:dyDescent="0.3">
      <c r="A3">
        <v>7</v>
      </c>
      <c r="B3">
        <v>10</v>
      </c>
      <c r="C3">
        <f>SUM(A3:B3)</f>
        <v>17</v>
      </c>
      <c r="D3">
        <f t="shared" ref="D3:D23" si="0">PRODUCT(A3:B3)</f>
        <v>70</v>
      </c>
      <c r="E3" s="25">
        <f t="shared" ref="E3:E23" si="1">A3/B3</f>
        <v>0.7</v>
      </c>
      <c r="F3">
        <f t="shared" ref="F3:F23" si="2">A3-B3</f>
        <v>-3</v>
      </c>
      <c r="G3">
        <f t="shared" ref="G3:G23" si="3">POWER(A3,2)</f>
        <v>49</v>
      </c>
      <c r="H3">
        <f t="shared" ref="H3:H23" si="4">POWER(A3,3)</f>
        <v>343</v>
      </c>
      <c r="P3" s="26"/>
      <c r="Q3" s="26"/>
      <c r="R3" s="26"/>
      <c r="S3" s="26"/>
    </row>
    <row r="4" spans="1:19" x14ac:dyDescent="0.3">
      <c r="A4">
        <v>11</v>
      </c>
      <c r="B4">
        <v>14</v>
      </c>
      <c r="C4">
        <f t="shared" ref="C4:C23" si="5">SUM(A4:B4)</f>
        <v>25</v>
      </c>
      <c r="D4">
        <f t="shared" si="0"/>
        <v>154</v>
      </c>
      <c r="E4" s="25">
        <f t="shared" si="1"/>
        <v>0.7857142857142857</v>
      </c>
      <c r="F4">
        <f t="shared" si="2"/>
        <v>-3</v>
      </c>
      <c r="G4">
        <f t="shared" si="3"/>
        <v>121</v>
      </c>
      <c r="H4">
        <f t="shared" si="4"/>
        <v>1331</v>
      </c>
      <c r="K4">
        <f>AVERAGE(A2:A6)</f>
        <v>10.6</v>
      </c>
      <c r="P4" s="26"/>
      <c r="Q4" s="26"/>
      <c r="R4" s="26"/>
      <c r="S4" s="26"/>
    </row>
    <row r="5" spans="1:19" x14ac:dyDescent="0.3">
      <c r="A5">
        <v>12</v>
      </c>
      <c r="B5">
        <v>5</v>
      </c>
      <c r="C5">
        <f t="shared" si="5"/>
        <v>17</v>
      </c>
      <c r="D5">
        <f t="shared" si="0"/>
        <v>60</v>
      </c>
      <c r="E5" s="25">
        <f t="shared" si="1"/>
        <v>2.4</v>
      </c>
      <c r="F5">
        <f t="shared" si="2"/>
        <v>7</v>
      </c>
      <c r="G5">
        <f t="shared" si="3"/>
        <v>144</v>
      </c>
      <c r="H5">
        <f t="shared" si="4"/>
        <v>1728</v>
      </c>
      <c r="I5">
        <f>MIN(B4:B12)</f>
        <v>5</v>
      </c>
      <c r="P5" s="26"/>
      <c r="Q5" s="26"/>
      <c r="R5" s="26"/>
      <c r="S5" s="26"/>
    </row>
    <row r="6" spans="1:19" x14ac:dyDescent="0.3">
      <c r="A6">
        <v>14</v>
      </c>
      <c r="B6">
        <v>16</v>
      </c>
      <c r="C6">
        <f t="shared" si="5"/>
        <v>30</v>
      </c>
      <c r="D6">
        <f t="shared" si="0"/>
        <v>224</v>
      </c>
      <c r="E6" s="25">
        <f t="shared" si="1"/>
        <v>0.875</v>
      </c>
      <c r="F6">
        <f t="shared" si="2"/>
        <v>-2</v>
      </c>
      <c r="G6">
        <f t="shared" si="3"/>
        <v>196</v>
      </c>
      <c r="H6">
        <f t="shared" si="4"/>
        <v>2744</v>
      </c>
    </row>
    <row r="7" spans="1:19" x14ac:dyDescent="0.3">
      <c r="A7">
        <v>11</v>
      </c>
      <c r="B7">
        <v>10</v>
      </c>
      <c r="C7">
        <f t="shared" si="5"/>
        <v>21</v>
      </c>
      <c r="D7">
        <f t="shared" si="0"/>
        <v>110</v>
      </c>
      <c r="E7" s="25">
        <f t="shared" si="1"/>
        <v>1.1000000000000001</v>
      </c>
      <c r="F7">
        <f t="shared" si="2"/>
        <v>1</v>
      </c>
      <c r="G7">
        <f t="shared" si="3"/>
        <v>121</v>
      </c>
      <c r="H7">
        <f t="shared" si="4"/>
        <v>1331</v>
      </c>
      <c r="I7">
        <f>MIN(A2:C13)</f>
        <v>5</v>
      </c>
    </row>
    <row r="8" spans="1:19" x14ac:dyDescent="0.3">
      <c r="A8">
        <v>5</v>
      </c>
      <c r="B8">
        <v>11</v>
      </c>
      <c r="C8">
        <f t="shared" si="5"/>
        <v>16</v>
      </c>
      <c r="D8">
        <f t="shared" si="0"/>
        <v>55</v>
      </c>
      <c r="E8" s="25">
        <f t="shared" si="1"/>
        <v>0.45454545454545453</v>
      </c>
      <c r="F8">
        <f t="shared" si="2"/>
        <v>-6</v>
      </c>
      <c r="G8">
        <f t="shared" si="3"/>
        <v>25</v>
      </c>
      <c r="H8">
        <f t="shared" si="4"/>
        <v>125</v>
      </c>
    </row>
    <row r="9" spans="1:19" x14ac:dyDescent="0.3">
      <c r="A9">
        <v>5</v>
      </c>
      <c r="B9">
        <v>8</v>
      </c>
      <c r="C9">
        <f t="shared" si="5"/>
        <v>13</v>
      </c>
      <c r="D9">
        <f t="shared" si="0"/>
        <v>40</v>
      </c>
      <c r="E9" s="25">
        <f t="shared" si="1"/>
        <v>0.625</v>
      </c>
      <c r="F9">
        <f t="shared" si="2"/>
        <v>-3</v>
      </c>
      <c r="G9">
        <f t="shared" si="3"/>
        <v>25</v>
      </c>
      <c r="H9">
        <f t="shared" si="4"/>
        <v>125</v>
      </c>
      <c r="I9">
        <f>MAX(A2:C11)</f>
        <v>30</v>
      </c>
    </row>
    <row r="10" spans="1:19" x14ac:dyDescent="0.3">
      <c r="A10">
        <v>8</v>
      </c>
      <c r="B10">
        <v>5</v>
      </c>
      <c r="C10">
        <f t="shared" si="5"/>
        <v>13</v>
      </c>
      <c r="D10">
        <f t="shared" si="0"/>
        <v>40</v>
      </c>
      <c r="E10" s="25">
        <f t="shared" si="1"/>
        <v>1.6</v>
      </c>
      <c r="F10">
        <f t="shared" si="2"/>
        <v>3</v>
      </c>
      <c r="G10">
        <f t="shared" si="3"/>
        <v>64</v>
      </c>
      <c r="H10">
        <f t="shared" si="4"/>
        <v>512</v>
      </c>
    </row>
    <row r="11" spans="1:19" x14ac:dyDescent="0.3">
      <c r="A11">
        <v>9</v>
      </c>
      <c r="B11">
        <v>13</v>
      </c>
      <c r="C11">
        <f t="shared" si="5"/>
        <v>22</v>
      </c>
      <c r="D11">
        <f t="shared" si="0"/>
        <v>117</v>
      </c>
      <c r="E11" s="25">
        <f t="shared" si="1"/>
        <v>0.69230769230769229</v>
      </c>
      <c r="F11">
        <f t="shared" si="2"/>
        <v>-4</v>
      </c>
      <c r="G11">
        <f t="shared" si="3"/>
        <v>81</v>
      </c>
      <c r="H11">
        <f t="shared" si="4"/>
        <v>729</v>
      </c>
    </row>
    <row r="12" spans="1:19" x14ac:dyDescent="0.3">
      <c r="A12">
        <v>16</v>
      </c>
      <c r="B12">
        <v>9</v>
      </c>
      <c r="C12">
        <f t="shared" si="5"/>
        <v>25</v>
      </c>
      <c r="D12">
        <f t="shared" si="0"/>
        <v>144</v>
      </c>
      <c r="E12" s="25">
        <f t="shared" si="1"/>
        <v>1.7777777777777777</v>
      </c>
      <c r="F12">
        <f t="shared" si="2"/>
        <v>7</v>
      </c>
      <c r="G12">
        <f t="shared" si="3"/>
        <v>256</v>
      </c>
      <c r="H12">
        <f t="shared" si="4"/>
        <v>4096</v>
      </c>
    </row>
    <row r="13" spans="1:19" x14ac:dyDescent="0.3">
      <c r="A13">
        <v>10</v>
      </c>
      <c r="B13">
        <v>9</v>
      </c>
      <c r="C13">
        <f t="shared" si="5"/>
        <v>19</v>
      </c>
      <c r="D13">
        <f t="shared" si="0"/>
        <v>90</v>
      </c>
      <c r="E13" s="25">
        <f t="shared" si="1"/>
        <v>1.1111111111111112</v>
      </c>
      <c r="F13">
        <f t="shared" si="2"/>
        <v>1</v>
      </c>
      <c r="G13">
        <f t="shared" si="3"/>
        <v>100</v>
      </c>
      <c r="H13">
        <f t="shared" si="4"/>
        <v>1000</v>
      </c>
    </row>
    <row r="14" spans="1:19" x14ac:dyDescent="0.3">
      <c r="A14">
        <v>13</v>
      </c>
      <c r="B14">
        <v>12</v>
      </c>
      <c r="C14">
        <f t="shared" si="5"/>
        <v>25</v>
      </c>
      <c r="D14">
        <f t="shared" si="0"/>
        <v>156</v>
      </c>
      <c r="E14" s="25">
        <f t="shared" si="1"/>
        <v>1.0833333333333333</v>
      </c>
      <c r="F14">
        <f t="shared" si="2"/>
        <v>1</v>
      </c>
      <c r="G14">
        <f t="shared" si="3"/>
        <v>169</v>
      </c>
      <c r="H14">
        <f t="shared" si="4"/>
        <v>2197</v>
      </c>
    </row>
    <row r="15" spans="1:19" x14ac:dyDescent="0.3">
      <c r="A15">
        <v>7</v>
      </c>
      <c r="B15">
        <v>8</v>
      </c>
      <c r="C15">
        <f>SUM(A15:B15)</f>
        <v>15</v>
      </c>
      <c r="D15">
        <f t="shared" si="0"/>
        <v>56</v>
      </c>
      <c r="E15" s="25">
        <f t="shared" si="1"/>
        <v>0.875</v>
      </c>
      <c r="F15">
        <f t="shared" si="2"/>
        <v>-1</v>
      </c>
      <c r="G15">
        <f t="shared" si="3"/>
        <v>49</v>
      </c>
      <c r="H15">
        <f t="shared" si="4"/>
        <v>343</v>
      </c>
    </row>
    <row r="16" spans="1:19" x14ac:dyDescent="0.3">
      <c r="A16">
        <v>8</v>
      </c>
      <c r="B16">
        <v>9</v>
      </c>
      <c r="C16">
        <f t="shared" si="5"/>
        <v>17</v>
      </c>
      <c r="D16">
        <f t="shared" si="0"/>
        <v>72</v>
      </c>
      <c r="E16" s="25">
        <f t="shared" si="1"/>
        <v>0.88888888888888884</v>
      </c>
      <c r="F16">
        <f t="shared" si="2"/>
        <v>-1</v>
      </c>
      <c r="G16">
        <f t="shared" si="3"/>
        <v>64</v>
      </c>
      <c r="H16">
        <f t="shared" si="4"/>
        <v>512</v>
      </c>
    </row>
    <row r="17" spans="1:8" x14ac:dyDescent="0.3">
      <c r="A17">
        <v>10</v>
      </c>
      <c r="B17">
        <v>13</v>
      </c>
      <c r="C17">
        <f t="shared" si="5"/>
        <v>23</v>
      </c>
      <c r="D17">
        <f t="shared" si="0"/>
        <v>130</v>
      </c>
      <c r="E17" s="25">
        <f t="shared" si="1"/>
        <v>0.76923076923076927</v>
      </c>
      <c r="F17">
        <f t="shared" si="2"/>
        <v>-3</v>
      </c>
      <c r="G17">
        <f t="shared" si="3"/>
        <v>100</v>
      </c>
      <c r="H17">
        <f t="shared" si="4"/>
        <v>1000</v>
      </c>
    </row>
    <row r="18" spans="1:8" x14ac:dyDescent="0.3">
      <c r="A18">
        <v>9</v>
      </c>
      <c r="B18">
        <v>7</v>
      </c>
      <c r="C18">
        <f t="shared" si="5"/>
        <v>16</v>
      </c>
      <c r="D18">
        <f t="shared" si="0"/>
        <v>63</v>
      </c>
      <c r="E18" s="25">
        <f t="shared" si="1"/>
        <v>1.2857142857142858</v>
      </c>
      <c r="F18">
        <f t="shared" si="2"/>
        <v>2</v>
      </c>
      <c r="G18">
        <f t="shared" si="3"/>
        <v>81</v>
      </c>
      <c r="H18">
        <f t="shared" si="4"/>
        <v>729</v>
      </c>
    </row>
    <row r="19" spans="1:8" x14ac:dyDescent="0.3">
      <c r="A19">
        <v>14</v>
      </c>
      <c r="B19">
        <v>11</v>
      </c>
      <c r="C19">
        <f t="shared" si="5"/>
        <v>25</v>
      </c>
      <c r="D19">
        <f t="shared" si="0"/>
        <v>154</v>
      </c>
      <c r="E19" s="25">
        <f t="shared" si="1"/>
        <v>1.2727272727272727</v>
      </c>
      <c r="F19">
        <f t="shared" si="2"/>
        <v>3</v>
      </c>
      <c r="G19">
        <f t="shared" si="3"/>
        <v>196</v>
      </c>
      <c r="H19">
        <f t="shared" si="4"/>
        <v>2744</v>
      </c>
    </row>
    <row r="20" spans="1:8" x14ac:dyDescent="0.3">
      <c r="A20">
        <v>6</v>
      </c>
      <c r="B20">
        <v>5</v>
      </c>
      <c r="C20">
        <f t="shared" si="5"/>
        <v>11</v>
      </c>
      <c r="D20">
        <f t="shared" si="0"/>
        <v>30</v>
      </c>
      <c r="E20" s="25">
        <f t="shared" si="1"/>
        <v>1.2</v>
      </c>
      <c r="F20">
        <f t="shared" si="2"/>
        <v>1</v>
      </c>
      <c r="G20">
        <f t="shared" si="3"/>
        <v>36</v>
      </c>
      <c r="H20">
        <f t="shared" si="4"/>
        <v>216</v>
      </c>
    </row>
    <row r="21" spans="1:8" x14ac:dyDescent="0.3">
      <c r="A21">
        <v>15</v>
      </c>
      <c r="B21">
        <v>8</v>
      </c>
      <c r="C21">
        <f t="shared" si="5"/>
        <v>23</v>
      </c>
      <c r="D21">
        <f t="shared" si="0"/>
        <v>120</v>
      </c>
      <c r="E21" s="25">
        <f t="shared" si="1"/>
        <v>1.875</v>
      </c>
      <c r="F21">
        <f t="shared" si="2"/>
        <v>7</v>
      </c>
      <c r="G21">
        <f t="shared" si="3"/>
        <v>225</v>
      </c>
      <c r="H21">
        <f t="shared" si="4"/>
        <v>3375</v>
      </c>
    </row>
    <row r="22" spans="1:8" x14ac:dyDescent="0.3">
      <c r="A22">
        <v>11</v>
      </c>
      <c r="B22">
        <v>11</v>
      </c>
      <c r="C22">
        <f t="shared" si="5"/>
        <v>22</v>
      </c>
      <c r="D22">
        <f t="shared" si="0"/>
        <v>121</v>
      </c>
      <c r="E22" s="25">
        <f t="shared" si="1"/>
        <v>1</v>
      </c>
      <c r="F22">
        <f t="shared" si="2"/>
        <v>0</v>
      </c>
      <c r="G22">
        <f t="shared" si="3"/>
        <v>121</v>
      </c>
      <c r="H22">
        <f t="shared" si="4"/>
        <v>1331</v>
      </c>
    </row>
    <row r="23" spans="1:8" x14ac:dyDescent="0.3">
      <c r="A23">
        <v>8</v>
      </c>
      <c r="B23">
        <v>15</v>
      </c>
      <c r="C23">
        <f t="shared" si="5"/>
        <v>23</v>
      </c>
      <c r="D23">
        <f t="shared" si="0"/>
        <v>120</v>
      </c>
      <c r="E23" s="25">
        <f t="shared" si="1"/>
        <v>0.53333333333333333</v>
      </c>
      <c r="F23">
        <f t="shared" si="2"/>
        <v>-7</v>
      </c>
      <c r="G23">
        <f t="shared" si="3"/>
        <v>64</v>
      </c>
      <c r="H23">
        <f t="shared" si="4"/>
        <v>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0923-454E-41BC-A85D-BEF9AED5F553}">
  <dimension ref="A1:P14"/>
  <sheetViews>
    <sheetView topLeftCell="D1" zoomScale="175" zoomScaleNormal="175" workbookViewId="0">
      <selection activeCell="E13" sqref="E13"/>
    </sheetView>
  </sheetViews>
  <sheetFormatPr defaultRowHeight="14.4" x14ac:dyDescent="0.3"/>
  <cols>
    <col min="1" max="1" width="5.6640625" bestFit="1" customWidth="1"/>
    <col min="2" max="2" width="9.77734375" bestFit="1" customWidth="1"/>
    <col min="3" max="3" width="9.6640625" bestFit="1" customWidth="1"/>
    <col min="4" max="4" width="20.109375" customWidth="1"/>
    <col min="5" max="5" width="6.5546875" customWidth="1"/>
    <col min="6" max="6" width="6.6640625" customWidth="1"/>
    <col min="7" max="7" width="4.88671875" customWidth="1"/>
    <col min="8" max="8" width="9.5546875" bestFit="1" customWidth="1"/>
    <col min="9" max="9" width="8.33203125" bestFit="1" customWidth="1"/>
    <col min="10" max="10" width="9.88671875" bestFit="1" customWidth="1"/>
    <col min="11" max="11" width="8.5546875" customWidth="1"/>
    <col min="12" max="12" width="15.77734375" customWidth="1"/>
    <col min="13" max="13" width="16.88671875" bestFit="1" customWidth="1"/>
    <col min="14" max="14" width="6.77734375" customWidth="1"/>
    <col min="15" max="15" width="6.44140625" bestFit="1" customWidth="1"/>
    <col min="16" max="16" width="18" bestFit="1" customWidth="1"/>
  </cols>
  <sheetData>
    <row r="1" spans="1:16" x14ac:dyDescent="0.3">
      <c r="A1" s="7" t="s">
        <v>216</v>
      </c>
      <c r="B1" s="7" t="s">
        <v>3</v>
      </c>
      <c r="C1" s="7" t="s">
        <v>4</v>
      </c>
      <c r="D1" s="7" t="s">
        <v>217</v>
      </c>
      <c r="E1" s="7" t="s">
        <v>218</v>
      </c>
      <c r="F1" s="7" t="s">
        <v>219</v>
      </c>
      <c r="G1" s="7" t="s">
        <v>220</v>
      </c>
      <c r="H1" s="7" t="s">
        <v>221</v>
      </c>
      <c r="I1" s="7" t="s">
        <v>222</v>
      </c>
      <c r="J1" s="7" t="s">
        <v>223</v>
      </c>
      <c r="K1" s="7" t="s">
        <v>224</v>
      </c>
      <c r="L1" s="7" t="s">
        <v>225</v>
      </c>
      <c r="M1" s="7" t="s">
        <v>226</v>
      </c>
      <c r="N1" s="7" t="s">
        <v>227</v>
      </c>
      <c r="O1" s="7" t="s">
        <v>228</v>
      </c>
      <c r="P1" s="7" t="s">
        <v>229</v>
      </c>
    </row>
    <row r="2" spans="1:16" x14ac:dyDescent="0.3">
      <c r="A2" t="s">
        <v>230</v>
      </c>
      <c r="B2" t="s">
        <v>231</v>
      </c>
      <c r="C2" t="s">
        <v>232</v>
      </c>
      <c r="D2" t="str">
        <f>_xlfn.CONCAT(A2," ",B2," ",C2)</f>
        <v>Mr Shubham Kumar</v>
      </c>
      <c r="E2" t="str">
        <f>LEFT(B2,3)</f>
        <v>Shu</v>
      </c>
      <c r="F2" t="str">
        <f>RIGHT(C2,3)</f>
        <v>mar</v>
      </c>
      <c r="G2" t="str">
        <f>MID(C2,2,3)</f>
        <v>uma</v>
      </c>
      <c r="H2" t="str">
        <f>UPPER(B2)</f>
        <v>SHUBHAM</v>
      </c>
      <c r="I2" t="str">
        <f>LOWER(B2)</f>
        <v>shubham</v>
      </c>
      <c r="J2" t="str">
        <f>PROPER(I2)</f>
        <v>Shubham</v>
      </c>
      <c r="K2">
        <f>FIND("u",C2)</f>
        <v>2</v>
      </c>
      <c r="L2">
        <f>SEARCH("U",C2)</f>
        <v>2</v>
      </c>
      <c r="M2" t="str">
        <f>SUBSTITUTE(D2,"Kumar","Gupta")</f>
        <v>Mr Shubham Gupta</v>
      </c>
      <c r="N2" t="s">
        <v>304</v>
      </c>
      <c r="O2">
        <f>LEN(C2)</f>
        <v>5</v>
      </c>
      <c r="P2" t="str">
        <f>REPLACE(D2,4,4,"Ajeeb")</f>
        <v>Mr Ajeebham Kumar</v>
      </c>
    </row>
    <row r="3" spans="1:16" x14ac:dyDescent="0.3">
      <c r="A3" t="s">
        <v>230</v>
      </c>
      <c r="B3" t="s">
        <v>234</v>
      </c>
      <c r="C3" t="s">
        <v>235</v>
      </c>
      <c r="D3" t="str">
        <f t="shared" ref="D3:D10" si="0">_xlfn.CONCAT(A3," ",B3," ",C3)</f>
        <v>Mr Ram Sahu</v>
      </c>
      <c r="E3" t="str">
        <f t="shared" ref="E3:E10" si="1">LEFT(B3,3)</f>
        <v>Ram</v>
      </c>
      <c r="F3" t="str">
        <f t="shared" ref="F3:F10" si="2">RIGHT(C3,3)</f>
        <v>ahu</v>
      </c>
      <c r="G3" t="str">
        <f t="shared" ref="G3:G10" si="3">MID(C3,2,3)</f>
        <v>ahu</v>
      </c>
      <c r="H3" t="str">
        <f t="shared" ref="H3:H10" si="4">UPPER(B3)</f>
        <v>RAM</v>
      </c>
      <c r="I3" t="str">
        <f t="shared" ref="I3:I10" si="5">LOWER(B3)</f>
        <v>ram</v>
      </c>
      <c r="J3" t="str">
        <f t="shared" ref="J3:J10" si="6">PROPER(I3)</f>
        <v>Ram</v>
      </c>
      <c r="N3">
        <v>5767</v>
      </c>
      <c r="O3">
        <f t="shared" ref="O3:O10" si="7">LEN(C3)</f>
        <v>4</v>
      </c>
    </row>
    <row r="4" spans="1:16" x14ac:dyDescent="0.3">
      <c r="A4" t="s">
        <v>230</v>
      </c>
      <c r="B4" t="s">
        <v>236</v>
      </c>
      <c r="C4" t="s">
        <v>237</v>
      </c>
      <c r="D4" t="str">
        <f t="shared" si="0"/>
        <v>Mr Mohan Pandey</v>
      </c>
      <c r="E4" t="str">
        <f t="shared" si="1"/>
        <v>Moh</v>
      </c>
      <c r="F4" t="str">
        <f t="shared" si="2"/>
        <v>dey</v>
      </c>
      <c r="G4" t="str">
        <f t="shared" si="3"/>
        <v>and</v>
      </c>
      <c r="H4" t="str">
        <f t="shared" si="4"/>
        <v>MOHAN</v>
      </c>
      <c r="I4" t="str">
        <f t="shared" si="5"/>
        <v>mohan</v>
      </c>
      <c r="J4" t="str">
        <f t="shared" si="6"/>
        <v>Mohan</v>
      </c>
      <c r="O4">
        <f t="shared" si="7"/>
        <v>6</v>
      </c>
    </row>
    <row r="5" spans="1:16" x14ac:dyDescent="0.3">
      <c r="A5" t="s">
        <v>233</v>
      </c>
      <c r="B5" t="s">
        <v>238</v>
      </c>
      <c r="C5" t="s">
        <v>239</v>
      </c>
      <c r="D5" t="str">
        <f t="shared" si="0"/>
        <v>Mrs. Geeta Kumari</v>
      </c>
      <c r="E5" t="str">
        <f t="shared" si="1"/>
        <v>Gee</v>
      </c>
      <c r="F5" t="str">
        <f t="shared" si="2"/>
        <v>ari</v>
      </c>
      <c r="G5" t="str">
        <f t="shared" si="3"/>
        <v>uma</v>
      </c>
      <c r="H5" t="str">
        <f t="shared" si="4"/>
        <v>GEETA</v>
      </c>
      <c r="I5" t="str">
        <f t="shared" si="5"/>
        <v>geeta</v>
      </c>
      <c r="J5" t="str">
        <f t="shared" si="6"/>
        <v>Geeta</v>
      </c>
      <c r="O5">
        <f t="shared" si="7"/>
        <v>6</v>
      </c>
    </row>
    <row r="6" spans="1:16" x14ac:dyDescent="0.3">
      <c r="A6" t="s">
        <v>233</v>
      </c>
      <c r="B6" t="s">
        <v>240</v>
      </c>
      <c r="C6" t="s">
        <v>241</v>
      </c>
      <c r="D6" t="str">
        <f t="shared" si="0"/>
        <v>Mrs. Susheela Diwakar</v>
      </c>
      <c r="E6" t="str">
        <f t="shared" si="1"/>
        <v>Sus</v>
      </c>
      <c r="F6" t="str">
        <f t="shared" si="2"/>
        <v>kar</v>
      </c>
      <c r="G6" t="str">
        <f t="shared" si="3"/>
        <v>iwa</v>
      </c>
      <c r="H6" t="str">
        <f t="shared" si="4"/>
        <v>SUSHEELA</v>
      </c>
      <c r="I6" t="str">
        <f t="shared" si="5"/>
        <v>susheela</v>
      </c>
      <c r="J6" t="str">
        <f t="shared" si="6"/>
        <v>Susheela</v>
      </c>
      <c r="O6">
        <f t="shared" si="7"/>
        <v>7</v>
      </c>
    </row>
    <row r="7" spans="1:16" x14ac:dyDescent="0.3">
      <c r="A7" t="s">
        <v>233</v>
      </c>
      <c r="B7" t="s">
        <v>242</v>
      </c>
      <c r="C7" t="s">
        <v>243</v>
      </c>
      <c r="D7" t="str">
        <f t="shared" si="0"/>
        <v>Mrs. Muskan Tiwari</v>
      </c>
      <c r="E7" t="str">
        <f t="shared" si="1"/>
        <v>Mus</v>
      </c>
      <c r="F7" t="str">
        <f t="shared" si="2"/>
        <v>ari</v>
      </c>
      <c r="G7" t="str">
        <f t="shared" si="3"/>
        <v>iwa</v>
      </c>
      <c r="H7" t="str">
        <f t="shared" si="4"/>
        <v>MUSKAN</v>
      </c>
      <c r="I7" t="str">
        <f t="shared" si="5"/>
        <v>muskan</v>
      </c>
      <c r="J7" t="str">
        <f t="shared" si="6"/>
        <v>Muskan</v>
      </c>
      <c r="O7">
        <f t="shared" si="7"/>
        <v>6</v>
      </c>
    </row>
    <row r="8" spans="1:16" x14ac:dyDescent="0.3">
      <c r="A8" t="s">
        <v>230</v>
      </c>
      <c r="B8" t="s">
        <v>190</v>
      </c>
      <c r="C8" t="s">
        <v>244</v>
      </c>
      <c r="D8" t="str">
        <f t="shared" si="0"/>
        <v>Mr Rohan Pal</v>
      </c>
      <c r="E8" t="str">
        <f t="shared" si="1"/>
        <v>Roh</v>
      </c>
      <c r="F8" t="str">
        <f t="shared" si="2"/>
        <v>Pal</v>
      </c>
      <c r="G8" t="str">
        <f t="shared" si="3"/>
        <v>al</v>
      </c>
      <c r="H8" t="str">
        <f t="shared" si="4"/>
        <v>ROHAN</v>
      </c>
      <c r="I8" t="str">
        <f t="shared" si="5"/>
        <v>rohan</v>
      </c>
      <c r="J8" t="str">
        <f t="shared" si="6"/>
        <v>Rohan</v>
      </c>
      <c r="O8">
        <f t="shared" si="7"/>
        <v>3</v>
      </c>
    </row>
    <row r="9" spans="1:16" x14ac:dyDescent="0.3">
      <c r="A9" t="s">
        <v>230</v>
      </c>
      <c r="B9" t="s">
        <v>175</v>
      </c>
      <c r="C9" t="s">
        <v>245</v>
      </c>
      <c r="D9" t="str">
        <f t="shared" si="0"/>
        <v>Mr John Cena</v>
      </c>
      <c r="E9" t="str">
        <f t="shared" si="1"/>
        <v>Joh</v>
      </c>
      <c r="F9" t="str">
        <f t="shared" si="2"/>
        <v>ena</v>
      </c>
      <c r="G9" t="str">
        <f t="shared" si="3"/>
        <v>ena</v>
      </c>
      <c r="H9" t="str">
        <f t="shared" si="4"/>
        <v>JOHN</v>
      </c>
      <c r="I9" t="str">
        <f t="shared" si="5"/>
        <v>john</v>
      </c>
      <c r="J9" t="str">
        <f t="shared" si="6"/>
        <v>John</v>
      </c>
      <c r="O9">
        <f t="shared" si="7"/>
        <v>4</v>
      </c>
    </row>
    <row r="10" spans="1:16" x14ac:dyDescent="0.3">
      <c r="A10" t="s">
        <v>230</v>
      </c>
      <c r="B10" t="s">
        <v>246</v>
      </c>
      <c r="C10" t="s">
        <v>247</v>
      </c>
      <c r="D10" t="str">
        <f t="shared" si="0"/>
        <v>Mr Peter Parker</v>
      </c>
      <c r="E10" t="str">
        <f t="shared" si="1"/>
        <v>Pet</v>
      </c>
      <c r="F10" t="str">
        <f t="shared" si="2"/>
        <v>ker</v>
      </c>
      <c r="G10" t="str">
        <f t="shared" si="3"/>
        <v>ark</v>
      </c>
      <c r="H10" t="str">
        <f t="shared" si="4"/>
        <v>PETER</v>
      </c>
      <c r="I10" t="str">
        <f t="shared" si="5"/>
        <v>peter</v>
      </c>
      <c r="J10" t="str">
        <f t="shared" si="6"/>
        <v>Peter</v>
      </c>
      <c r="O10">
        <f t="shared" si="7"/>
        <v>6</v>
      </c>
    </row>
    <row r="12" spans="1:16" x14ac:dyDescent="0.3">
      <c r="L12" s="28">
        <v>46146</v>
      </c>
    </row>
    <row r="14" spans="1:16" x14ac:dyDescent="0.3">
      <c r="L14" t="str">
        <f>TEXT(L12,"dd-mm-yyyy")</f>
        <v>04-05-2026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CE1A-3C5C-49E9-8D0A-AD3DFF2EC16F}">
  <dimension ref="A1:I10"/>
  <sheetViews>
    <sheetView tabSelected="1" zoomScale="160" zoomScaleNormal="160" workbookViewId="0">
      <selection activeCell="G14" sqref="G14"/>
    </sheetView>
  </sheetViews>
  <sheetFormatPr defaultRowHeight="14.4" x14ac:dyDescent="0.3"/>
  <cols>
    <col min="1" max="1" width="8.44140625" bestFit="1" customWidth="1"/>
    <col min="2" max="2" width="5.109375" bestFit="1" customWidth="1"/>
    <col min="3" max="3" width="6.109375" bestFit="1" customWidth="1"/>
    <col min="4" max="4" width="6.77734375" bestFit="1" customWidth="1"/>
    <col min="5" max="5" width="5.21875" bestFit="1" customWidth="1"/>
    <col min="6" max="6" width="12.77734375" bestFit="1" customWidth="1"/>
    <col min="7" max="7" width="12.21875" bestFit="1" customWidth="1"/>
    <col min="8" max="8" width="11" bestFit="1" customWidth="1"/>
    <col min="9" max="9" width="10.6640625" bestFit="1" customWidth="1"/>
  </cols>
  <sheetData>
    <row r="1" spans="1:9" x14ac:dyDescent="0.3">
      <c r="A1" s="8" t="s">
        <v>248</v>
      </c>
      <c r="B1" s="8" t="s">
        <v>181</v>
      </c>
      <c r="C1" s="8" t="s">
        <v>249</v>
      </c>
      <c r="D1" s="8" t="s">
        <v>250</v>
      </c>
      <c r="E1" s="8" t="s">
        <v>251</v>
      </c>
      <c r="F1" s="8" t="s">
        <v>252</v>
      </c>
      <c r="G1" s="8" t="s">
        <v>253</v>
      </c>
      <c r="H1" s="8" t="s">
        <v>254</v>
      </c>
      <c r="I1" s="8" t="s">
        <v>255</v>
      </c>
    </row>
    <row r="2" spans="1:9" x14ac:dyDescent="0.3">
      <c r="A2" t="s">
        <v>231</v>
      </c>
      <c r="B2">
        <v>78</v>
      </c>
      <c r="C2">
        <v>45</v>
      </c>
      <c r="D2">
        <v>22</v>
      </c>
      <c r="E2">
        <f>SUM(B2:D2)</f>
        <v>145</v>
      </c>
      <c r="F2" t="str">
        <f>IF(E2&gt;150,"Pass","Fail")</f>
        <v>Fail</v>
      </c>
      <c r="G2" t="str">
        <f>IF(AND(B2&gt;33,C2&gt;33,D2&gt;33),"Pass","Fail")</f>
        <v>Fail</v>
      </c>
      <c r="H2" t="str">
        <f>IF(OR(B2&lt;33,C2&lt;33,D2&lt;33),"Fail","Pass")</f>
        <v>Fail</v>
      </c>
      <c r="I2" s="25">
        <f>E2*100/300</f>
        <v>48.333333333333336</v>
      </c>
    </row>
    <row r="3" spans="1:9" x14ac:dyDescent="0.3">
      <c r="A3" t="s">
        <v>234</v>
      </c>
      <c r="B3">
        <v>63</v>
      </c>
      <c r="C3">
        <v>26</v>
      </c>
      <c r="D3">
        <v>49</v>
      </c>
      <c r="E3">
        <f t="shared" ref="E3:E10" si="0">SUM(B3:D3)</f>
        <v>138</v>
      </c>
      <c r="F3" t="str">
        <f t="shared" ref="F3:F10" si="1">IF(E3&gt;150,"Pass","Fail")</f>
        <v>Fail</v>
      </c>
      <c r="G3" t="str">
        <f t="shared" ref="G3:G10" si="2">IF(AND(B3&gt;33,C3&gt;33,D3&gt;33),"Pass","Fail")</f>
        <v>Fail</v>
      </c>
      <c r="H3" t="str">
        <f t="shared" ref="H3:H10" si="3">IF(OR(B3&lt;33,C3&lt;33,D3&lt;33),"Fail","Pass")</f>
        <v>Fail</v>
      </c>
      <c r="I3" s="25">
        <f t="shared" ref="I3:I10" si="4">E3*100/300</f>
        <v>46</v>
      </c>
    </row>
    <row r="4" spans="1:9" x14ac:dyDescent="0.3">
      <c r="A4" t="s">
        <v>236</v>
      </c>
      <c r="B4">
        <v>22</v>
      </c>
      <c r="C4">
        <v>67</v>
      </c>
      <c r="D4">
        <v>89</v>
      </c>
      <c r="E4">
        <f t="shared" si="0"/>
        <v>178</v>
      </c>
      <c r="F4" t="str">
        <f t="shared" si="1"/>
        <v>Pass</v>
      </c>
      <c r="G4" t="str">
        <f t="shared" si="2"/>
        <v>Fail</v>
      </c>
      <c r="H4" t="str">
        <f t="shared" si="3"/>
        <v>Fail</v>
      </c>
      <c r="I4" s="25">
        <f t="shared" si="4"/>
        <v>59.333333333333336</v>
      </c>
    </row>
    <row r="5" spans="1:9" x14ac:dyDescent="0.3">
      <c r="A5" t="s">
        <v>238</v>
      </c>
      <c r="B5">
        <v>45</v>
      </c>
      <c r="C5">
        <v>54</v>
      </c>
      <c r="D5">
        <v>45</v>
      </c>
      <c r="E5">
        <f t="shared" si="0"/>
        <v>144</v>
      </c>
      <c r="F5" t="str">
        <f t="shared" si="1"/>
        <v>Fail</v>
      </c>
      <c r="G5" t="str">
        <f t="shared" si="2"/>
        <v>Pass</v>
      </c>
      <c r="H5" t="str">
        <f t="shared" si="3"/>
        <v>Pass</v>
      </c>
      <c r="I5" s="25">
        <f t="shared" si="4"/>
        <v>48</v>
      </c>
    </row>
    <row r="6" spans="1:9" x14ac:dyDescent="0.3">
      <c r="A6" t="s">
        <v>240</v>
      </c>
      <c r="B6">
        <v>39</v>
      </c>
      <c r="C6">
        <v>84</v>
      </c>
      <c r="D6">
        <v>88</v>
      </c>
      <c r="E6">
        <f t="shared" si="0"/>
        <v>211</v>
      </c>
      <c r="F6" t="str">
        <f t="shared" si="1"/>
        <v>Pass</v>
      </c>
      <c r="G6" t="str">
        <f t="shared" si="2"/>
        <v>Pass</v>
      </c>
      <c r="H6" t="str">
        <f t="shared" si="3"/>
        <v>Pass</v>
      </c>
      <c r="I6" s="25">
        <f t="shared" si="4"/>
        <v>70.333333333333329</v>
      </c>
    </row>
    <row r="7" spans="1:9" x14ac:dyDescent="0.3">
      <c r="A7" t="s">
        <v>242</v>
      </c>
      <c r="B7">
        <v>18</v>
      </c>
      <c r="C7">
        <v>37</v>
      </c>
      <c r="D7">
        <v>75</v>
      </c>
      <c r="E7">
        <f t="shared" si="0"/>
        <v>130</v>
      </c>
      <c r="F7" t="str">
        <f t="shared" si="1"/>
        <v>Fail</v>
      </c>
      <c r="G7" t="str">
        <f t="shared" si="2"/>
        <v>Fail</v>
      </c>
      <c r="H7" t="str">
        <f t="shared" si="3"/>
        <v>Fail</v>
      </c>
      <c r="I7" s="25">
        <f t="shared" si="4"/>
        <v>43.333333333333336</v>
      </c>
    </row>
    <row r="8" spans="1:9" x14ac:dyDescent="0.3">
      <c r="A8" t="s">
        <v>190</v>
      </c>
      <c r="B8">
        <v>50</v>
      </c>
      <c r="C8">
        <v>73</v>
      </c>
      <c r="D8">
        <v>99</v>
      </c>
      <c r="E8">
        <f t="shared" si="0"/>
        <v>222</v>
      </c>
      <c r="F8" t="str">
        <f t="shared" si="1"/>
        <v>Pass</v>
      </c>
      <c r="G8" t="str">
        <f t="shared" si="2"/>
        <v>Pass</v>
      </c>
      <c r="H8" t="str">
        <f t="shared" si="3"/>
        <v>Pass</v>
      </c>
      <c r="I8" s="25">
        <f t="shared" si="4"/>
        <v>74</v>
      </c>
    </row>
    <row r="9" spans="1:9" x14ac:dyDescent="0.3">
      <c r="A9" t="s">
        <v>175</v>
      </c>
      <c r="B9">
        <v>50</v>
      </c>
      <c r="C9">
        <v>19</v>
      </c>
      <c r="D9">
        <v>79</v>
      </c>
      <c r="E9">
        <f t="shared" si="0"/>
        <v>148</v>
      </c>
      <c r="F9" t="str">
        <f t="shared" si="1"/>
        <v>Fail</v>
      </c>
      <c r="G9" t="str">
        <f t="shared" si="2"/>
        <v>Fail</v>
      </c>
      <c r="H9" t="str">
        <f t="shared" si="3"/>
        <v>Fail</v>
      </c>
      <c r="I9" s="25">
        <f t="shared" si="4"/>
        <v>49.333333333333336</v>
      </c>
    </row>
    <row r="10" spans="1:9" x14ac:dyDescent="0.3">
      <c r="A10" t="s">
        <v>246</v>
      </c>
      <c r="B10">
        <v>34</v>
      </c>
      <c r="C10">
        <v>44</v>
      </c>
      <c r="D10">
        <v>51</v>
      </c>
      <c r="E10">
        <f t="shared" si="0"/>
        <v>129</v>
      </c>
      <c r="F10" t="str">
        <f t="shared" si="1"/>
        <v>Fail</v>
      </c>
      <c r="G10" t="str">
        <f t="shared" si="2"/>
        <v>Pass</v>
      </c>
      <c r="H10" t="str">
        <f t="shared" si="3"/>
        <v>Pass</v>
      </c>
      <c r="I10" s="25">
        <f t="shared" si="4"/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 1 Practice</vt:lpstr>
      <vt:lpstr>Sheet1</vt:lpstr>
      <vt:lpstr>Day 2 Practice</vt:lpstr>
      <vt:lpstr>Day 3 Pratice</vt:lpstr>
      <vt:lpstr>Practice Maths Formule</vt:lpstr>
      <vt:lpstr>Practice Text Formule</vt:lpstr>
      <vt:lpstr>Practice Logical Formule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2026-01-22T06:39:18Z</dcterms:modified>
</cp:coreProperties>
</file>