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Excel_Practice_Files\"/>
    </mc:Choice>
  </mc:AlternateContent>
  <xr:revisionPtr revIDLastSave="0" documentId="13_ncr:1_{DF7BA8F0-1250-4EDA-AF27-28B64EFFE62D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Practice Date Formule" sheetId="1" r:id="rId1"/>
    <sheet name="Sheet3" sheetId="5" r:id="rId2"/>
    <sheet name="Some Advance Maths" sheetId="2" r:id="rId3"/>
    <sheet name="Sheet4" sheetId="6" r:id="rId4"/>
    <sheet name="Sheet5" sheetId="7" r:id="rId5"/>
    <sheet name="Sheet6" sheetId="8" r:id="rId6"/>
    <sheet name="Sheet1" sheetId="9" r:id="rId7"/>
    <sheet name="Sheet2" sheetId="10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9" l="1"/>
  <c r="H9" i="9"/>
  <c r="H7" i="9"/>
  <c r="H5" i="9"/>
  <c r="D11" i="10"/>
  <c r="D9" i="10"/>
  <c r="F10" i="9"/>
  <c r="I7" i="6" l="1"/>
  <c r="F4" i="6"/>
  <c r="C8" i="6"/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<sst xmlns="http://schemas.openxmlformats.org/spreadsheetml/2006/main" count="522" uniqueCount="56">
  <si>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</si>
  <si>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</si>
  <si>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</si>
  <si>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</si>
  <si>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</si>
  <si>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</si>
  <si>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</si>
  <si>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</si>
  <si>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</si>
  <si>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</si>
  <si>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</si>
  <si>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</si>
  <si>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</si>
  <si>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</si>
  <si>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</si>
  <si>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</si>
  <si>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</si>
  <si>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</si>
  <si>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</si>
  <si>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</si>
  <si>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</si>
  <si>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</si>
  <si>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</si>
  <si>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</si>
  <si>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</si>
  <si>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</si>
  <si>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</si>
  <si>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</si>
  <si>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</si>
  <si>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</si>
  <si>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</si>
  <si>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</si>
  <si>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</si>
  <si>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</si>
  <si>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</si>
  <si>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</si>
  <si>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</si>
  <si>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</si>
  <si>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</si>
  <si>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</si>
  <si>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</si>
  <si>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</si>
  <si>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</si>
  <si>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</si>
  <si>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</si>
  <si>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</si>
  <si>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</si>
  <si>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</si>
  <si>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</si>
  <si>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</si>
  <si>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Max of Units</t>
  </si>
  <si>
    <t>Sales Unit</t>
  </si>
  <si>
    <t>Unit Price</t>
  </si>
  <si>
    <t>Amount</t>
  </si>
  <si>
    <t>RowNumber</t>
  </si>
  <si>
    <t>Column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</si>
</sst>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10" fontId="0" fillId="0" borderId="0" xfId="0" pivotButton="1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426864004628" createdVersion="6" refreshedVersion="6" minRefreshableVersion="3" recordCount="43" xr:uid="{DB653F5C-2A71-4A95-9329-485E4E9921FE}">
  <cacheSource type="worksheet">
    <worksheetSource name="Table3"/>
  </cacheSource>
  <cacheFields count="10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Total sales" numFmtId="0" formula="Item*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s v="East"/>
    <x v="0"/>
    <s v="Alexander"/>
    <s v="Television"/>
    <n v="95"/>
    <n v="1198"/>
    <n v="113810"/>
    <s v="UPI"/>
  </r>
  <r>
    <d v="2018-02-09T00:00:00"/>
    <s v="Central"/>
    <x v="1"/>
    <s v="Luis"/>
    <s v="Television"/>
    <n v="36"/>
    <n v="1198"/>
    <n v="43128"/>
    <s v="DEBIT CARD"/>
  </r>
  <r>
    <d v="2018-02-26T00:00:00"/>
    <s v="Central"/>
    <x v="2"/>
    <s v="David"/>
    <s v="Cell Phone"/>
    <n v="27"/>
    <n v="225"/>
    <n v="6075"/>
    <s v="NET BANKING"/>
  </r>
  <r>
    <d v="2018-03-15T00:00:00"/>
    <s v="West"/>
    <x v="2"/>
    <s v="Stephen"/>
    <s v="Television"/>
    <n v="56"/>
    <n v="1198"/>
    <n v="67088"/>
    <s v="UPI"/>
  </r>
  <r>
    <d v="2018-04-18T00:00:00"/>
    <s v="Central"/>
    <x v="0"/>
    <s v="Steven"/>
    <s v="Television"/>
    <n v="75"/>
    <n v="1198"/>
    <n v="89850"/>
    <s v="DEBIT CARD"/>
  </r>
  <r>
    <d v="2018-05-05T00:00:00"/>
    <s v="Central"/>
    <x v="1"/>
    <s v="Luis"/>
    <s v="Television"/>
    <n v="90"/>
    <n v="1198"/>
    <n v="107820"/>
    <s v="UPI"/>
  </r>
  <r>
    <d v="2018-09-01T00:00:00"/>
    <s v="Central"/>
    <x v="3"/>
    <s v="John"/>
    <s v="Desk"/>
    <n v="2"/>
    <n v="125"/>
    <n v="250"/>
    <s v="NET BANKING"/>
  </r>
  <r>
    <d v="2019-08-24T00:00:00"/>
    <s v="West"/>
    <x v="2"/>
    <s v="Stephen"/>
    <s v="Desk"/>
    <n v="3"/>
    <n v="125"/>
    <n v="375"/>
    <s v="CASH"/>
  </r>
  <r>
    <d v="2018-01-23T00:00:00"/>
    <s v="Central"/>
    <x v="1"/>
    <s v="Shelli"/>
    <s v="Home Theater"/>
    <n v="50"/>
    <n v="500"/>
    <n v="25000"/>
    <s v="CASH"/>
  </r>
  <r>
    <d v="2018-10-05T00:00:00"/>
    <s v="Central"/>
    <x v="1"/>
    <s v="Sigal"/>
    <s v="Home Theater"/>
    <n v="28"/>
    <n v="500"/>
    <n v="14000"/>
    <s v="CASH"/>
  </r>
  <r>
    <d v="2019-05-31T00:00:00"/>
    <s v="Central"/>
    <x v="2"/>
    <s v="David"/>
    <s v="Home Theater"/>
    <n v="80"/>
    <n v="500"/>
    <n v="40000"/>
    <s v="CASH"/>
  </r>
  <r>
    <d v="2019-12-04T00:00:00"/>
    <s v="Central"/>
    <x v="1"/>
    <s v="Luis"/>
    <s v="Home Theater"/>
    <n v="94"/>
    <n v="500"/>
    <n v="47000"/>
    <s v="CASH"/>
  </r>
  <r>
    <d v="2018-05-22T00:00:00"/>
    <s v="West"/>
    <x v="3"/>
    <s v="Michael"/>
    <s v="Television"/>
    <n v="32"/>
    <n v="1198"/>
    <n v="38336"/>
    <s v="CASH"/>
  </r>
  <r>
    <d v="2018-06-25T00:00:00"/>
    <s v="Central"/>
    <x v="1"/>
    <s v="Sigal"/>
    <s v="Television"/>
    <n v="90"/>
    <n v="1198"/>
    <n v="107820"/>
    <s v="CASH"/>
  </r>
  <r>
    <d v="2018-08-15T00:00:00"/>
    <s v="East"/>
    <x v="0"/>
    <s v="Alexander"/>
    <s v="Television"/>
    <n v="35"/>
    <n v="1198"/>
    <n v="41930"/>
    <s v="DEBIT CARD"/>
  </r>
  <r>
    <d v="2018-09-18T00:00:00"/>
    <s v="East"/>
    <x v="0"/>
    <s v="Alexander"/>
    <s v="Video Games"/>
    <n v="16"/>
    <n v="58.5"/>
    <n v="936"/>
    <s v="UPI"/>
  </r>
  <r>
    <d v="2018-10-22T00:00:00"/>
    <s v="East"/>
    <x v="0"/>
    <s v="Alexander"/>
    <s v="Cell Phone"/>
    <n v="64"/>
    <n v="225"/>
    <n v="14400"/>
    <s v="NET BANKING"/>
  </r>
  <r>
    <d v="2018-11-08T00:00:00"/>
    <s v="East"/>
    <x v="3"/>
    <s v="Karen"/>
    <s v="Cell Phone"/>
    <n v="15"/>
    <n v="225"/>
    <n v="3375"/>
    <s v="DEBIT CARD"/>
  </r>
  <r>
    <d v="2018-04-01T00:00:00"/>
    <s v="East"/>
    <x v="0"/>
    <s v="Alexander"/>
    <s v="Home Theater"/>
    <n v="60"/>
    <n v="500"/>
    <n v="30000"/>
    <s v="CASH"/>
  </r>
  <r>
    <d v="2019-02-18T00:00:00"/>
    <s v="East"/>
    <x v="0"/>
    <s v="Alexander"/>
    <s v="Home Theater"/>
    <n v="4"/>
    <n v="500"/>
    <n v="2000"/>
    <s v="CASH"/>
  </r>
  <r>
    <d v="2018-07-12T00:00:00"/>
    <s v="East"/>
    <x v="0"/>
    <s v="Diana"/>
    <s v="Home Theater"/>
    <n v="29"/>
    <n v="500"/>
    <n v="14500"/>
    <s v="DEBIT CARD"/>
  </r>
  <r>
    <d v="2018-07-29T00:00:00"/>
    <s v="East"/>
    <x v="3"/>
    <s v="Karen"/>
    <s v="Home Theater"/>
    <n v="81"/>
    <n v="500"/>
    <n v="40500"/>
    <s v="NET BANKING"/>
  </r>
  <r>
    <d v="2018-06-08T00:00:00"/>
    <s v="East"/>
    <x v="0"/>
    <s v="Alexander"/>
    <s v="Home Theater"/>
    <n v="60"/>
    <n v="500"/>
    <n v="30000"/>
    <s v="UPI"/>
  </r>
  <r>
    <d v="2018-11-25T00:00:00"/>
    <s v="Central"/>
    <x v="1"/>
    <s v="Shelli"/>
    <s v="Video Games"/>
    <n v="96"/>
    <n v="58.5"/>
    <n v="5616"/>
    <s v="NET BANKING"/>
  </r>
  <r>
    <d v="2018-12-12T00:00:00"/>
    <s v="Central"/>
    <x v="3"/>
    <s v="John"/>
    <s v="Television"/>
    <n v="67"/>
    <n v="1198"/>
    <n v="80266"/>
    <s v="DEBIT CARD"/>
  </r>
  <r>
    <d v="2018-12-29T00:00:00"/>
    <s v="East"/>
    <x v="3"/>
    <s v="Karen"/>
    <s v="Video Games"/>
    <n v="74"/>
    <n v="58.5"/>
    <n v="4329"/>
    <s v="DEBIT CARD"/>
  </r>
  <r>
    <d v="2019-01-15T00:00:00"/>
    <s v="Central"/>
    <x v="2"/>
    <s v="David"/>
    <s v="Home Theater"/>
    <n v="46"/>
    <n v="500"/>
    <n v="23000"/>
    <s v="NET BANKING"/>
  </r>
  <r>
    <d v="2019-02-01T00:00:00"/>
    <s v="Central"/>
    <x v="3"/>
    <s v="John"/>
    <s v="Home Theater"/>
    <n v="87"/>
    <n v="500"/>
    <n v="43500"/>
    <s v="UPI"/>
  </r>
  <r>
    <d v="2019-03-07T00:00:00"/>
    <s v="West"/>
    <x v="2"/>
    <s v="Stephen"/>
    <s v="Home Theater"/>
    <n v="7"/>
    <n v="500"/>
    <n v="3500"/>
    <s v="DEBIT CARD"/>
  </r>
  <r>
    <d v="2019-03-24T00:00:00"/>
    <s v="Central"/>
    <x v="1"/>
    <s v="Luis"/>
    <s v="Video Games"/>
    <n v="50"/>
    <n v="58.5"/>
    <n v="2925"/>
    <s v="NET BANKING"/>
  </r>
  <r>
    <d v="2019-04-10T00:00:00"/>
    <s v="Central"/>
    <x v="0"/>
    <s v="Steven"/>
    <s v="Television"/>
    <n v="66"/>
    <n v="1198"/>
    <n v="79068"/>
    <s v="DEBIT CARD"/>
  </r>
  <r>
    <d v="2019-04-27T00:00:00"/>
    <s v="East"/>
    <x v="0"/>
    <s v="Diana"/>
    <s v="Cell Phone"/>
    <n v="96"/>
    <n v="225"/>
    <n v="21600"/>
    <s v="CASH"/>
  </r>
  <r>
    <d v="2019-05-14T00:00:00"/>
    <s v="Central"/>
    <x v="2"/>
    <s v="David"/>
    <s v="Television"/>
    <n v="53"/>
    <n v="1198"/>
    <n v="63494"/>
    <s v="UPI"/>
  </r>
  <r>
    <d v="2019-06-17T00:00:00"/>
    <s v="Central"/>
    <x v="1"/>
    <s v="Shelli"/>
    <s v="Desk"/>
    <n v="5"/>
    <n v="125"/>
    <n v="625"/>
    <s v="DEBIT CARD"/>
  </r>
  <r>
    <d v="2019-07-04T00:00:00"/>
    <s v="East"/>
    <x v="0"/>
    <s v="Alexander"/>
    <s v="Video Games"/>
    <n v="62"/>
    <n v="58.5"/>
    <n v="3627"/>
    <s v="CASH"/>
  </r>
  <r>
    <d v="2019-07-21T00:00:00"/>
    <s v="Central"/>
    <x v="1"/>
    <s v="Sigal"/>
    <s v="Video Games"/>
    <n v="55"/>
    <n v="58.5"/>
    <n v="3217.5"/>
    <s v="DEBIT CARD"/>
  </r>
  <r>
    <d v="2019-08-07T00:00:00"/>
    <s v="Central"/>
    <x v="1"/>
    <s v="Shelli"/>
    <s v="Video Games"/>
    <n v="42"/>
    <n v="58.5"/>
    <n v="2457"/>
    <s v="NET BANKING"/>
  </r>
  <r>
    <d v="2019-09-10T00:00:00"/>
    <s v="Central"/>
    <x v="2"/>
    <s v="David"/>
    <s v="Television"/>
    <n v="7"/>
    <n v="1198"/>
    <n v="8386"/>
    <s v="DEBIT CARD"/>
  </r>
  <r>
    <d v="2019-09-27T00:00:00"/>
    <s v="West"/>
    <x v="2"/>
    <s v="Stephen"/>
    <s v="Cell Phone"/>
    <n v="76"/>
    <n v="225"/>
    <n v="17100"/>
    <s v="NET BANKING"/>
  </r>
  <r>
    <d v="2019-10-14T00:00:00"/>
    <s v="West"/>
    <x v="3"/>
    <s v="Michael"/>
    <s v="Home Theater"/>
    <n v="57"/>
    <n v="500"/>
    <n v="28500"/>
    <s v="CASH"/>
  </r>
  <r>
    <d v="2019-10-31T00:00:00"/>
    <s v="Central"/>
    <x v="0"/>
    <s v="Steven"/>
    <s v="Television"/>
    <n v="14"/>
    <n v="1198"/>
    <n v="16772"/>
    <s v="DEBIT CARD"/>
  </r>
  <r>
    <d v="2019-11-17T00:00:00"/>
    <s v="Central"/>
    <x v="1"/>
    <s v="Luis"/>
    <s v="Home Theater"/>
    <n v="11"/>
    <n v="500"/>
    <n v="5500"/>
    <s v="DEBIT CARD"/>
  </r>
  <r>
    <d v="2019-12-21T00:00:00"/>
    <s v="Central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C0A2-CB94-463D-B4DC-6F33A7353C3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7:I22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C233B-D4D6-4316-A70E-B7424E7F4DC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8B30-1FA5-4AAE-A9E0-6F3A0FF6257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105FE-384B-4BFA-855B-5023E3F4C26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F1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3331-90ED-4F0C-9CA9-C15CEFE6327A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9:I14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sortState ref="A2:I44">
    <sortCondition ref="A2"/>
  </sortState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I12" sqref="I12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46118</v>
      </c>
      <c r="B2" s="5">
        <f ca="1">NOW()</f>
        <v>46118.467890740743</v>
      </c>
      <c r="C2">
        <f ca="1">YEAR(B2)</f>
        <v>2026</v>
      </c>
      <c r="D2">
        <f ca="1">MONTH(B2)</f>
        <v>4</v>
      </c>
      <c r="E2">
        <f ca="1">DAY(B2)</f>
        <v>6</v>
      </c>
      <c r="F2">
        <f ca="1">HOUR(B2)</f>
        <v>11</v>
      </c>
      <c r="G2">
        <f ca="1">MINUTE(B2)</f>
        <v>13</v>
      </c>
      <c r="H2">
        <f ca="1">SECOND(B2)</f>
        <v>46</v>
      </c>
      <c r="I2" s="5">
        <f ca="1">EDATE(A2,4)</f>
        <v>46240</v>
      </c>
    </row>
    <row r="4" spans="1:11" x14ac:dyDescent="0.3">
      <c r="I4" s="4">
        <f ca="1">EDATE(A2,3*12)</f>
        <v>47214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3:I22"/>
  <sheetViews>
    <sheetView tabSelected="1"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</cols>
  <sheetData>
    <row r="3" spans="1:9" x14ac:dyDescent="0.3">
      <c r="A3" s="17" t="s">
        <v>47</v>
      </c>
      <c r="B3" t="s">
        <v>49</v>
      </c>
      <c r="C3" t="s">
        <v>50</v>
      </c>
    </row>
    <row r="4" spans="1:9" x14ac:dyDescent="0.3">
      <c r="A4" s="18" t="s">
        <v>31</v>
      </c>
      <c r="B4" s="19">
        <v>239056</v>
      </c>
      <c r="C4" s="20">
        <v>0.90625</v>
      </c>
    </row>
    <row r="5" spans="1:9" x14ac:dyDescent="0.3">
      <c r="A5" s="18" t="s">
        <v>35</v>
      </c>
      <c r="B5" s="19">
        <v>365108.5</v>
      </c>
      <c r="C5" s="20">
        <v>1</v>
      </c>
    </row>
    <row r="6" spans="1:9" x14ac:dyDescent="0.3">
      <c r="A6" s="18" t="s">
        <v>28</v>
      </c>
      <c r="B6" s="19">
        <v>472493</v>
      </c>
      <c r="C6" s="20">
        <v>1</v>
      </c>
    </row>
    <row r="7" spans="1:9" x14ac:dyDescent="0.3">
      <c r="A7" s="18" t="s">
        <v>21</v>
      </c>
      <c r="B7" s="19">
        <v>229018</v>
      </c>
      <c r="C7" s="20">
        <v>0.83333333333333337</v>
      </c>
    </row>
    <row r="8" spans="1:9" x14ac:dyDescent="0.3">
      <c r="A8" s="18" t="s">
        <v>48</v>
      </c>
      <c r="B8" s="19">
        <v>1305675.5</v>
      </c>
      <c r="C8" s="20">
        <v>1</v>
      </c>
    </row>
    <row r="9" spans="1:9" x14ac:dyDescent="0.3">
      <c r="G9" s="17" t="s">
        <v>47</v>
      </c>
      <c r="H9" s="17" t="s">
        <v>49</v>
      </c>
      <c r="I9" s="17" t="s">
        <v>50</v>
      </c>
    </row>
    <row r="10" spans="1:9" x14ac:dyDescent="0.3">
      <c r="G10" s="18" t="s">
        <v>31</v>
      </c>
      <c r="H10" s="19">
        <v>239056</v>
      </c>
      <c r="I10" s="20">
        <v>0.90625</v>
      </c>
    </row>
    <row r="11" spans="1:9" x14ac:dyDescent="0.3">
      <c r="G11" s="18" t="s">
        <v>35</v>
      </c>
      <c r="H11" s="19">
        <v>365108.5</v>
      </c>
      <c r="I11" s="20">
        <v>1</v>
      </c>
    </row>
    <row r="12" spans="1:9" x14ac:dyDescent="0.3">
      <c r="A12" s="17" t="s">
        <v>47</v>
      </c>
      <c r="B12" s="17" t="s">
        <v>49</v>
      </c>
      <c r="C12" s="17" t="s">
        <v>50</v>
      </c>
      <c r="D12" s="17"/>
      <c r="G12" s="18" t="s">
        <v>28</v>
      </c>
      <c r="H12" s="19">
        <v>472493</v>
      </c>
      <c r="I12" s="20">
        <v>1</v>
      </c>
    </row>
    <row r="13" spans="1:9" x14ac:dyDescent="0.3">
      <c r="A13" s="18" t="s">
        <v>31</v>
      </c>
      <c r="B13" s="19">
        <v>239056</v>
      </c>
      <c r="C13" s="20">
        <v>0.90625</v>
      </c>
      <c r="D13" s="17" t="s">
        <v>47</v>
      </c>
      <c r="E13" s="17" t="s">
        <v>49</v>
      </c>
      <c r="F13" s="17" t="s">
        <v>50</v>
      </c>
      <c r="G13" s="21" t="s">
        <v>21</v>
      </c>
      <c r="H13" s="22">
        <v>229018</v>
      </c>
      <c r="I13" s="23">
        <v>0.83333333333333337</v>
      </c>
    </row>
    <row r="14" spans="1:9" x14ac:dyDescent="0.3">
      <c r="A14" s="18" t="s">
        <v>35</v>
      </c>
      <c r="B14" s="19">
        <v>365108.5</v>
      </c>
      <c r="C14" s="20">
        <v>1</v>
      </c>
      <c r="D14" s="18" t="s">
        <v>31</v>
      </c>
      <c r="E14" s="19">
        <v>239056</v>
      </c>
      <c r="F14" s="20">
        <v>0.90625</v>
      </c>
      <c r="G14" s="18" t="s">
        <v>48</v>
      </c>
      <c r="H14" s="19">
        <v>1305675.5</v>
      </c>
      <c r="I14" s="20">
        <v>1</v>
      </c>
    </row>
    <row r="15" spans="1:9" x14ac:dyDescent="0.3">
      <c r="A15" s="18" t="s">
        <v>28</v>
      </c>
      <c r="B15" s="19">
        <v>472493</v>
      </c>
      <c r="C15" s="20">
        <v>1</v>
      </c>
      <c r="D15" s="18" t="s">
        <v>35</v>
      </c>
      <c r="E15" s="19">
        <v>365108.5</v>
      </c>
      <c r="F15" s="20">
        <v>1</v>
      </c>
    </row>
    <row r="16" spans="1:9" x14ac:dyDescent="0.3">
      <c r="A16" s="18" t="s">
        <v>21</v>
      </c>
      <c r="B16" s="19">
        <v>229018</v>
      </c>
      <c r="C16" s="20">
        <v>0.83333333333333337</v>
      </c>
      <c r="D16" s="18" t="s">
        <v>28</v>
      </c>
      <c r="E16" s="19">
        <v>472493</v>
      </c>
      <c r="F16" s="20">
        <v>1</v>
      </c>
    </row>
    <row r="17" spans="1:9" x14ac:dyDescent="0.3">
      <c r="A17" s="18" t="s">
        <v>48</v>
      </c>
      <c r="B17" s="19">
        <v>1305675.5</v>
      </c>
      <c r="C17" s="20">
        <v>1</v>
      </c>
      <c r="D17" s="18" t="s">
        <v>21</v>
      </c>
      <c r="E17" s="19">
        <v>229018</v>
      </c>
      <c r="F17" s="20">
        <v>0.83333333333333337</v>
      </c>
      <c r="G17" s="17" t="s">
        <v>47</v>
      </c>
      <c r="H17" s="17" t="s">
        <v>49</v>
      </c>
      <c r="I17" s="17" t="s">
        <v>50</v>
      </c>
    </row>
    <row r="18" spans="1:9" x14ac:dyDescent="0.3">
      <c r="D18" s="18" t="s">
        <v>48</v>
      </c>
      <c r="E18" s="19">
        <v>1305675.5</v>
      </c>
      <c r="F18" s="20">
        <v>1</v>
      </c>
      <c r="G18" s="18" t="s">
        <v>31</v>
      </c>
      <c r="H18" s="19">
        <v>239056</v>
      </c>
      <c r="I18" s="20">
        <v>0.90625</v>
      </c>
    </row>
    <row r="19" spans="1:9" x14ac:dyDescent="0.3">
      <c r="G19" s="18" t="s">
        <v>35</v>
      </c>
      <c r="H19" s="19">
        <v>365108.5</v>
      </c>
      <c r="I19" s="20">
        <v>1</v>
      </c>
    </row>
    <row r="20" spans="1:9" x14ac:dyDescent="0.3">
      <c r="G20" s="18" t="s">
        <v>28</v>
      </c>
      <c r="H20" s="19">
        <v>472493</v>
      </c>
      <c r="I20" s="20">
        <v>1</v>
      </c>
    </row>
    <row r="21" spans="1:9" x14ac:dyDescent="0.3">
      <c r="G21" s="18" t="s">
        <v>21</v>
      </c>
      <c r="H21" s="19">
        <v>229018</v>
      </c>
      <c r="I21" s="20">
        <v>0.83333333333333337</v>
      </c>
    </row>
    <row r="22" spans="1:9" x14ac:dyDescent="0.3">
      <c r="G22" s="18" t="s">
        <v>48</v>
      </c>
      <c r="H22" s="19">
        <v>1305675.5</v>
      </c>
      <c r="I22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zoomScale="85" zoomScaleNormal="85" workbookViewId="0">
      <selection activeCell="D1" sqref="D1:I28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14">
        <v>43106</v>
      </c>
      <c r="B2" s="3" t="s">
        <v>27</v>
      </c>
      <c r="C2" s="3" t="s">
        <v>28</v>
      </c>
      <c r="D2" s="3" t="s">
        <v>34</v>
      </c>
      <c r="E2" s="3" t="s">
        <v>45</v>
      </c>
      <c r="F2" s="3">
        <v>95</v>
      </c>
      <c r="G2" s="3">
        <v>1198</v>
      </c>
      <c r="H2" s="3">
        <v>113810</v>
      </c>
      <c r="I2" s="3" t="s">
        <v>43</v>
      </c>
    </row>
    <row r="3" spans="1:18" x14ac:dyDescent="0.3">
      <c r="A3" s="1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" t="s">
        <v>33</v>
      </c>
    </row>
    <row r="4" spans="1:18" x14ac:dyDescent="0.3">
      <c r="A4" s="1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" t="s">
        <v>24</v>
      </c>
    </row>
    <row r="5" spans="1:18" x14ac:dyDescent="0.3">
      <c r="A5" s="1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" t="s">
        <v>43</v>
      </c>
    </row>
    <row r="6" spans="1:18" x14ac:dyDescent="0.3">
      <c r="A6" s="14">
        <v>43208</v>
      </c>
      <c r="B6" s="3" t="s">
        <v>20</v>
      </c>
      <c r="C6" s="3" t="s">
        <v>28</v>
      </c>
      <c r="D6" s="3" t="s">
        <v>42</v>
      </c>
      <c r="E6" s="3" t="s">
        <v>45</v>
      </c>
      <c r="F6" s="3">
        <v>75</v>
      </c>
      <c r="G6" s="3">
        <v>1198</v>
      </c>
      <c r="H6" s="3">
        <v>89850</v>
      </c>
      <c r="I6" s="3" t="s">
        <v>33</v>
      </c>
    </row>
    <row r="7" spans="1:18" x14ac:dyDescent="0.3">
      <c r="A7" s="1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" t="s">
        <v>43</v>
      </c>
    </row>
    <row r="8" spans="1:18" hidden="1" x14ac:dyDescent="0.3">
      <c r="A8" s="1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1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1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1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1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1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1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" t="s">
        <v>30</v>
      </c>
    </row>
    <row r="15" spans="1:18" collapsed="1" x14ac:dyDescent="0.3">
      <c r="A15" s="1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" t="s">
        <v>30</v>
      </c>
    </row>
    <row r="16" spans="1:18" x14ac:dyDescent="0.3">
      <c r="A16" s="1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" t="s">
        <v>33</v>
      </c>
    </row>
    <row r="17" spans="1:9" x14ac:dyDescent="0.3">
      <c r="A17" s="1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" t="s">
        <v>43</v>
      </c>
    </row>
    <row r="18" spans="1:9" x14ac:dyDescent="0.3">
      <c r="A18" s="1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" t="s">
        <v>24</v>
      </c>
    </row>
    <row r="19" spans="1:9" x14ac:dyDescent="0.3">
      <c r="A19" s="1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" t="s">
        <v>33</v>
      </c>
    </row>
    <row r="20" spans="1:9" hidden="1" x14ac:dyDescent="0.3">
      <c r="A20" s="1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1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1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1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1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14">
        <v>43429</v>
      </c>
      <c r="B25" s="3" t="s">
        <v>20</v>
      </c>
      <c r="C25" s="3" t="s">
        <v>35</v>
      </c>
      <c r="D25" s="3" t="s">
        <v>36</v>
      </c>
      <c r="E25" s="3" t="s">
        <v>46</v>
      </c>
      <c r="F25" s="3">
        <v>96</v>
      </c>
      <c r="G25" s="3">
        <v>58.5</v>
      </c>
      <c r="H25" s="3">
        <v>5616</v>
      </c>
      <c r="I25" s="3" t="s">
        <v>24</v>
      </c>
    </row>
    <row r="26" spans="1:9" x14ac:dyDescent="0.3">
      <c r="A26" s="13">
        <v>43446</v>
      </c>
      <c r="B26" s="2" t="s">
        <v>20</v>
      </c>
      <c r="C26" s="2" t="s">
        <v>31</v>
      </c>
      <c r="D26" s="2" t="s">
        <v>38</v>
      </c>
      <c r="E26" s="2" t="s">
        <v>45</v>
      </c>
      <c r="F26" s="2">
        <v>67</v>
      </c>
      <c r="G26" s="2">
        <v>1198</v>
      </c>
      <c r="H26" s="2">
        <v>80266</v>
      </c>
      <c r="I26" s="2" t="s">
        <v>33</v>
      </c>
    </row>
    <row r="27" spans="1:9" x14ac:dyDescent="0.3">
      <c r="A27" s="14">
        <v>43463</v>
      </c>
      <c r="B27" s="3" t="s">
        <v>27</v>
      </c>
      <c r="C27" s="3" t="s">
        <v>31</v>
      </c>
      <c r="D27" s="3" t="s">
        <v>32</v>
      </c>
      <c r="E27" s="3" t="s">
        <v>46</v>
      </c>
      <c r="F27" s="3">
        <v>74</v>
      </c>
      <c r="G27" s="3">
        <v>58.5</v>
      </c>
      <c r="H27" s="3">
        <v>4329</v>
      </c>
      <c r="I27" s="3" t="s">
        <v>33</v>
      </c>
    </row>
    <row r="28" spans="1:9" x14ac:dyDescent="0.3">
      <c r="A28" s="13">
        <v>43480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46</v>
      </c>
      <c r="G28" s="2">
        <v>500</v>
      </c>
      <c r="H28" s="2">
        <v>23000</v>
      </c>
      <c r="I28" s="2" t="s">
        <v>24</v>
      </c>
    </row>
    <row r="29" spans="1:9" x14ac:dyDescent="0.3">
      <c r="A29" s="14">
        <v>43497</v>
      </c>
      <c r="B29" s="3" t="s">
        <v>20</v>
      </c>
      <c r="C29" s="3" t="s">
        <v>31</v>
      </c>
      <c r="D29" s="3" t="s">
        <v>38</v>
      </c>
      <c r="E29" s="3" t="s">
        <v>39</v>
      </c>
      <c r="F29" s="3">
        <v>87</v>
      </c>
      <c r="G29" s="3">
        <v>500</v>
      </c>
      <c r="H29" s="3">
        <v>43500</v>
      </c>
      <c r="I29" s="3" t="s">
        <v>43</v>
      </c>
    </row>
    <row r="30" spans="1:9" x14ac:dyDescent="0.3">
      <c r="A30" s="14">
        <v>43531</v>
      </c>
      <c r="B30" s="3" t="s">
        <v>25</v>
      </c>
      <c r="C30" s="3" t="s">
        <v>21</v>
      </c>
      <c r="D30" s="3" t="s">
        <v>26</v>
      </c>
      <c r="E30" s="3" t="s">
        <v>39</v>
      </c>
      <c r="F30" s="3">
        <v>7</v>
      </c>
      <c r="G30" s="3">
        <v>500</v>
      </c>
      <c r="H30" s="3">
        <v>3500</v>
      </c>
      <c r="I30" s="3" t="s">
        <v>33</v>
      </c>
    </row>
    <row r="31" spans="1:9" x14ac:dyDescent="0.3">
      <c r="A31" s="13">
        <v>43548</v>
      </c>
      <c r="B31" s="2" t="s">
        <v>20</v>
      </c>
      <c r="C31" s="2" t="s">
        <v>35</v>
      </c>
      <c r="D31" s="2" t="s">
        <v>41</v>
      </c>
      <c r="E31" s="2" t="s">
        <v>46</v>
      </c>
      <c r="F31" s="2">
        <v>50</v>
      </c>
      <c r="G31" s="2">
        <v>58.5</v>
      </c>
      <c r="H31" s="2">
        <v>2925</v>
      </c>
      <c r="I31" s="2" t="s">
        <v>24</v>
      </c>
    </row>
    <row r="32" spans="1:9" x14ac:dyDescent="0.3">
      <c r="A32" s="14">
        <v>43565</v>
      </c>
      <c r="B32" s="3" t="s">
        <v>20</v>
      </c>
      <c r="C32" s="3" t="s">
        <v>28</v>
      </c>
      <c r="D32" s="3" t="s">
        <v>42</v>
      </c>
      <c r="E32" s="3" t="s">
        <v>45</v>
      </c>
      <c r="F32" s="3">
        <v>66</v>
      </c>
      <c r="G32" s="3">
        <v>1198</v>
      </c>
      <c r="H32" s="3">
        <v>79068</v>
      </c>
      <c r="I32" s="3" t="s">
        <v>33</v>
      </c>
    </row>
    <row r="33" spans="1:9" x14ac:dyDescent="0.3">
      <c r="A33" s="13">
        <v>43582</v>
      </c>
      <c r="B33" s="2" t="s">
        <v>27</v>
      </c>
      <c r="C33" s="2" t="s">
        <v>28</v>
      </c>
      <c r="D33" s="2" t="s">
        <v>29</v>
      </c>
      <c r="E33" s="2" t="s">
        <v>23</v>
      </c>
      <c r="F33" s="2">
        <v>96</v>
      </c>
      <c r="G33" s="2">
        <v>225</v>
      </c>
      <c r="H33" s="2">
        <v>21600</v>
      </c>
      <c r="I33" s="2" t="s">
        <v>30</v>
      </c>
    </row>
    <row r="34" spans="1:9" x14ac:dyDescent="0.3">
      <c r="A34" s="14">
        <v>43599</v>
      </c>
      <c r="B34" s="3" t="s">
        <v>20</v>
      </c>
      <c r="C34" s="3" t="s">
        <v>21</v>
      </c>
      <c r="D34" s="3" t="s">
        <v>22</v>
      </c>
      <c r="E34" s="3" t="s">
        <v>45</v>
      </c>
      <c r="F34" s="3">
        <v>53</v>
      </c>
      <c r="G34" s="3">
        <v>1198</v>
      </c>
      <c r="H34" s="3">
        <v>63494</v>
      </c>
      <c r="I34" s="3" t="s">
        <v>43</v>
      </c>
    </row>
    <row r="35" spans="1:9" x14ac:dyDescent="0.3">
      <c r="A35" s="14">
        <v>43633</v>
      </c>
      <c r="B35" s="3" t="s">
        <v>20</v>
      </c>
      <c r="C35" s="3" t="s">
        <v>35</v>
      </c>
      <c r="D35" s="3" t="s">
        <v>36</v>
      </c>
      <c r="E35" s="3" t="s">
        <v>37</v>
      </c>
      <c r="F35" s="3">
        <v>5</v>
      </c>
      <c r="G35" s="3">
        <v>125</v>
      </c>
      <c r="H35" s="3">
        <v>625</v>
      </c>
      <c r="I35" s="3" t="s">
        <v>33</v>
      </c>
    </row>
    <row r="36" spans="1:9" x14ac:dyDescent="0.3">
      <c r="A36" s="13">
        <v>43650</v>
      </c>
      <c r="B36" s="2" t="s">
        <v>27</v>
      </c>
      <c r="C36" s="2" t="s">
        <v>28</v>
      </c>
      <c r="D36" s="2" t="s">
        <v>34</v>
      </c>
      <c r="E36" s="2" t="s">
        <v>46</v>
      </c>
      <c r="F36" s="2">
        <v>62</v>
      </c>
      <c r="G36" s="2">
        <v>58.5</v>
      </c>
      <c r="H36" s="2">
        <v>3627</v>
      </c>
      <c r="I36" s="2" t="s">
        <v>30</v>
      </c>
    </row>
    <row r="37" spans="1:9" x14ac:dyDescent="0.3">
      <c r="A37" s="13">
        <v>43667</v>
      </c>
      <c r="B37" s="2" t="s">
        <v>20</v>
      </c>
      <c r="C37" s="2" t="s">
        <v>35</v>
      </c>
      <c r="D37" s="2" t="s">
        <v>40</v>
      </c>
      <c r="E37" s="2" t="s">
        <v>46</v>
      </c>
      <c r="F37" s="2">
        <v>55</v>
      </c>
      <c r="G37" s="2">
        <v>58.5</v>
      </c>
      <c r="H37" s="2">
        <v>3217.5</v>
      </c>
      <c r="I37" s="2" t="s">
        <v>33</v>
      </c>
    </row>
    <row r="38" spans="1:9" x14ac:dyDescent="0.3">
      <c r="A38" s="14">
        <v>43684</v>
      </c>
      <c r="B38" s="3" t="s">
        <v>20</v>
      </c>
      <c r="C38" s="3" t="s">
        <v>35</v>
      </c>
      <c r="D38" s="3" t="s">
        <v>36</v>
      </c>
      <c r="E38" s="3" t="s">
        <v>46</v>
      </c>
      <c r="F38" s="3">
        <v>42</v>
      </c>
      <c r="G38" s="3">
        <v>58.5</v>
      </c>
      <c r="H38" s="3">
        <v>2457</v>
      </c>
      <c r="I38" s="3" t="s">
        <v>24</v>
      </c>
    </row>
    <row r="39" spans="1:9" x14ac:dyDescent="0.3">
      <c r="A39" s="13">
        <v>43718</v>
      </c>
      <c r="B39" s="2" t="s">
        <v>20</v>
      </c>
      <c r="C39" s="2" t="s">
        <v>21</v>
      </c>
      <c r="D39" s="2" t="s">
        <v>22</v>
      </c>
      <c r="E39" s="2" t="s">
        <v>45</v>
      </c>
      <c r="F39" s="2">
        <v>7</v>
      </c>
      <c r="G39" s="2">
        <v>1198</v>
      </c>
      <c r="H39" s="2">
        <v>8386</v>
      </c>
      <c r="I39" s="2" t="s">
        <v>33</v>
      </c>
    </row>
    <row r="40" spans="1:9" x14ac:dyDescent="0.3">
      <c r="A40" s="14">
        <v>43735</v>
      </c>
      <c r="B40" s="3" t="s">
        <v>25</v>
      </c>
      <c r="C40" s="3" t="s">
        <v>21</v>
      </c>
      <c r="D40" s="3" t="s">
        <v>26</v>
      </c>
      <c r="E40" s="3" t="s">
        <v>23</v>
      </c>
      <c r="F40" s="3">
        <v>76</v>
      </c>
      <c r="G40" s="3">
        <v>225</v>
      </c>
      <c r="H40" s="3">
        <v>17100</v>
      </c>
      <c r="I40" s="3" t="s">
        <v>24</v>
      </c>
    </row>
    <row r="41" spans="1:9" x14ac:dyDescent="0.3">
      <c r="A41" s="13">
        <v>43752</v>
      </c>
      <c r="B41" s="2" t="s">
        <v>25</v>
      </c>
      <c r="C41" s="2" t="s">
        <v>31</v>
      </c>
      <c r="D41" s="2" t="s">
        <v>44</v>
      </c>
      <c r="E41" s="2" t="s">
        <v>39</v>
      </c>
      <c r="F41" s="2">
        <v>57</v>
      </c>
      <c r="G41" s="2">
        <v>500</v>
      </c>
      <c r="H41" s="2">
        <v>28500</v>
      </c>
      <c r="I41" s="2" t="s">
        <v>30</v>
      </c>
    </row>
    <row r="42" spans="1:9" x14ac:dyDescent="0.3">
      <c r="A42" s="14">
        <v>43769</v>
      </c>
      <c r="B42" s="3" t="s">
        <v>20</v>
      </c>
      <c r="C42" s="3" t="s">
        <v>28</v>
      </c>
      <c r="D42" s="3" t="s">
        <v>42</v>
      </c>
      <c r="E42" s="3" t="s">
        <v>45</v>
      </c>
      <c r="F42" s="3">
        <v>14</v>
      </c>
      <c r="G42" s="3">
        <v>1198</v>
      </c>
      <c r="H42" s="3">
        <v>16772</v>
      </c>
      <c r="I42" s="3" t="s">
        <v>33</v>
      </c>
    </row>
    <row r="43" spans="1:9" x14ac:dyDescent="0.3">
      <c r="A43" s="13">
        <v>43786</v>
      </c>
      <c r="B43" s="2" t="s">
        <v>20</v>
      </c>
      <c r="C43" s="2" t="s">
        <v>35</v>
      </c>
      <c r="D43" s="2" t="s">
        <v>41</v>
      </c>
      <c r="E43" s="2" t="s">
        <v>39</v>
      </c>
      <c r="F43" s="2">
        <v>11</v>
      </c>
      <c r="G43" s="2">
        <v>500</v>
      </c>
      <c r="H43" s="2">
        <v>5500</v>
      </c>
      <c r="I43" s="2" t="s">
        <v>33</v>
      </c>
    </row>
    <row r="44" spans="1:9" x14ac:dyDescent="0.3">
      <c r="A44" s="14">
        <v>43820</v>
      </c>
      <c r="B44" s="3" t="s">
        <v>20</v>
      </c>
      <c r="C44" s="3" t="s">
        <v>28</v>
      </c>
      <c r="D44" s="3" t="s">
        <v>42</v>
      </c>
      <c r="E44" s="3" t="s">
        <v>39</v>
      </c>
      <c r="F44" s="3">
        <v>28</v>
      </c>
      <c r="G44" s="3">
        <v>500</v>
      </c>
      <c r="H44" s="3">
        <v>14000</v>
      </c>
      <c r="I44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I7" sqref="I7:Q19"/>
    </sheetView>
  </sheetViews>
  <sheetFormatPr defaultRowHeight="14.4" x14ac:dyDescent="0.3"/>
  <sheetData>
    <row r="4" spans="2:17" x14ac:dyDescent="0.3">
      <c r="B4" t="s">
        <v>51</v>
      </c>
      <c r="C4">
        <v>500</v>
      </c>
      <c r="F4">
        <f>C4*C5*C6</f>
        <v>27500</v>
      </c>
    </row>
    <row r="5" spans="2:17" x14ac:dyDescent="0.3">
      <c r="B5" t="s">
        <v>52</v>
      </c>
      <c r="C5">
        <v>55</v>
      </c>
      <c r="E5">
        <v>500</v>
      </c>
      <c r="F5">
        <f t="dataTable" ref="F5:F18" dt2D="0" dtr="0" r1="C4"/>
        <v>27500</v>
      </c>
    </row>
    <row r="6" spans="2:17" x14ac:dyDescent="0.3">
      <c r="B6" t="s">
        <v>3</v>
      </c>
      <c r="C6">
        <v>1</v>
      </c>
      <c r="E6">
        <v>600</v>
      </c>
      <c r="F6">
        <v>33000</v>
      </c>
    </row>
    <row r="7" spans="2:17" x14ac:dyDescent="0.3"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t="s">
        <v>53</v>
      </c>
      <c r="C8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 ca="1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workbookViewId="0">
      <selection sqref="A1:I12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  <row r="13" spans="1:9" x14ac:dyDescent="0.3">
      <c r="A13" s="16">
        <v>43803</v>
      </c>
      <c r="B13" s="11" t="s">
        <v>20</v>
      </c>
      <c r="C13" s="11" t="s">
        <v>35</v>
      </c>
      <c r="D13" s="11" t="s">
        <v>41</v>
      </c>
      <c r="E13" s="11" t="s">
        <v>39</v>
      </c>
      <c r="F13" s="11">
        <v>94</v>
      </c>
      <c r="G13" s="11">
        <v>500</v>
      </c>
      <c r="H13" s="11">
        <v>47000</v>
      </c>
      <c r="I13" s="11" t="s">
        <v>30</v>
      </c>
    </row>
    <row r="14" spans="1:9" x14ac:dyDescent="0.3">
      <c r="A14" s="15">
        <v>43242</v>
      </c>
      <c r="B14" s="9" t="s">
        <v>25</v>
      </c>
      <c r="C14" s="9" t="s">
        <v>31</v>
      </c>
      <c r="D14" s="9" t="s">
        <v>44</v>
      </c>
      <c r="E14" s="9" t="s">
        <v>45</v>
      </c>
      <c r="F14" s="9">
        <v>32</v>
      </c>
      <c r="G14" s="9">
        <v>1198</v>
      </c>
      <c r="H14" s="9">
        <v>38336</v>
      </c>
      <c r="I14" s="10" t="s">
        <v>30</v>
      </c>
    </row>
    <row r="15" spans="1:9" x14ac:dyDescent="0.3">
      <c r="A15" s="16">
        <v>43276</v>
      </c>
      <c r="B15" s="11" t="s">
        <v>20</v>
      </c>
      <c r="C15" s="11" t="s">
        <v>35</v>
      </c>
      <c r="D15" s="11" t="s">
        <v>40</v>
      </c>
      <c r="E15" s="11" t="s">
        <v>45</v>
      </c>
      <c r="F15" s="11">
        <v>90</v>
      </c>
      <c r="G15" s="11">
        <v>1198</v>
      </c>
      <c r="H15" s="11">
        <v>107820</v>
      </c>
      <c r="I15" s="12" t="s">
        <v>30</v>
      </c>
    </row>
    <row r="16" spans="1:9" x14ac:dyDescent="0.3">
      <c r="A16" s="15">
        <v>43327</v>
      </c>
      <c r="B16" s="9" t="s">
        <v>27</v>
      </c>
      <c r="C16" s="9" t="s">
        <v>28</v>
      </c>
      <c r="D16" s="9" t="s">
        <v>34</v>
      </c>
      <c r="E16" s="9" t="s">
        <v>45</v>
      </c>
      <c r="F16" s="9">
        <v>35</v>
      </c>
      <c r="G16" s="9">
        <v>1198</v>
      </c>
      <c r="H16" s="9">
        <v>41930</v>
      </c>
      <c r="I16" s="10" t="s">
        <v>33</v>
      </c>
    </row>
    <row r="17" spans="1:9" x14ac:dyDescent="0.3">
      <c r="A17" s="15">
        <v>43361</v>
      </c>
      <c r="B17" s="9" t="s">
        <v>27</v>
      </c>
      <c r="C17" s="9" t="s">
        <v>28</v>
      </c>
      <c r="D17" s="9" t="s">
        <v>34</v>
      </c>
      <c r="E17" s="9" t="s">
        <v>46</v>
      </c>
      <c r="F17" s="9">
        <v>16</v>
      </c>
      <c r="G17" s="9">
        <v>58.5</v>
      </c>
      <c r="H17" s="9">
        <v>936</v>
      </c>
      <c r="I17" s="10" t="s">
        <v>43</v>
      </c>
    </row>
    <row r="18" spans="1:9" x14ac:dyDescent="0.3">
      <c r="A18" s="15">
        <v>43395</v>
      </c>
      <c r="B18" s="9" t="s">
        <v>27</v>
      </c>
      <c r="C18" s="9" t="s">
        <v>28</v>
      </c>
      <c r="D18" s="9" t="s">
        <v>34</v>
      </c>
      <c r="E18" s="9" t="s">
        <v>23</v>
      </c>
      <c r="F18" s="9">
        <v>64</v>
      </c>
      <c r="G18" s="9">
        <v>225</v>
      </c>
      <c r="H18" s="9">
        <v>14400</v>
      </c>
      <c r="I18" s="10" t="s">
        <v>24</v>
      </c>
    </row>
    <row r="19" spans="1:9" x14ac:dyDescent="0.3">
      <c r="A19" s="16">
        <v>43412</v>
      </c>
      <c r="B19" s="11" t="s">
        <v>27</v>
      </c>
      <c r="C19" s="11" t="s">
        <v>31</v>
      </c>
      <c r="D19" s="11" t="s">
        <v>32</v>
      </c>
      <c r="E19" s="11" t="s">
        <v>23</v>
      </c>
      <c r="F19" s="11">
        <v>15</v>
      </c>
      <c r="G19" s="11">
        <v>225</v>
      </c>
      <c r="H19" s="11">
        <v>3375</v>
      </c>
      <c r="I19" s="12" t="s">
        <v>33</v>
      </c>
    </row>
    <row r="20" spans="1:9" x14ac:dyDescent="0.3">
      <c r="A20" s="15">
        <v>43191</v>
      </c>
      <c r="B20" s="9" t="s">
        <v>27</v>
      </c>
      <c r="C20" s="9" t="s">
        <v>28</v>
      </c>
      <c r="D20" s="9" t="s">
        <v>34</v>
      </c>
      <c r="E20" s="9" t="s">
        <v>39</v>
      </c>
      <c r="F20" s="9">
        <v>60</v>
      </c>
      <c r="G20" s="9">
        <v>500</v>
      </c>
      <c r="H20" s="9">
        <v>30000</v>
      </c>
      <c r="I20" s="9" t="s">
        <v>30</v>
      </c>
    </row>
    <row r="21" spans="1:9" x14ac:dyDescent="0.3">
      <c r="A21" s="16">
        <v>43514</v>
      </c>
      <c r="B21" s="11" t="s">
        <v>27</v>
      </c>
      <c r="C21" s="11" t="s">
        <v>28</v>
      </c>
      <c r="D21" s="11" t="s">
        <v>34</v>
      </c>
      <c r="E21" s="11" t="s">
        <v>39</v>
      </c>
      <c r="F21" s="11">
        <v>4</v>
      </c>
      <c r="G21" s="11">
        <v>500</v>
      </c>
      <c r="H21" s="11">
        <v>2000</v>
      </c>
      <c r="I21" s="11" t="s">
        <v>30</v>
      </c>
    </row>
    <row r="22" spans="1:9" x14ac:dyDescent="0.3">
      <c r="A22" s="15">
        <v>43293</v>
      </c>
      <c r="B22" s="9" t="s">
        <v>27</v>
      </c>
      <c r="C22" s="9" t="s">
        <v>28</v>
      </c>
      <c r="D22" s="9" t="s">
        <v>29</v>
      </c>
      <c r="E22" s="9" t="s">
        <v>39</v>
      </c>
      <c r="F22" s="9">
        <v>29</v>
      </c>
      <c r="G22" s="9">
        <v>500</v>
      </c>
      <c r="H22" s="9">
        <v>14500</v>
      </c>
      <c r="I22" s="9" t="s">
        <v>33</v>
      </c>
    </row>
    <row r="23" spans="1:9" x14ac:dyDescent="0.3">
      <c r="A23" s="16">
        <v>43310</v>
      </c>
      <c r="B23" s="11" t="s">
        <v>27</v>
      </c>
      <c r="C23" s="11" t="s">
        <v>31</v>
      </c>
      <c r="D23" s="11" t="s">
        <v>32</v>
      </c>
      <c r="E23" s="11" t="s">
        <v>39</v>
      </c>
      <c r="F23" s="11">
        <v>81</v>
      </c>
      <c r="G23" s="11">
        <v>500</v>
      </c>
      <c r="H23" s="11">
        <v>40500</v>
      </c>
      <c r="I23" s="11" t="s">
        <v>24</v>
      </c>
    </row>
    <row r="24" spans="1:9" x14ac:dyDescent="0.3">
      <c r="A24" s="15">
        <v>43259</v>
      </c>
      <c r="B24" s="9" t="s">
        <v>27</v>
      </c>
      <c r="C24" s="9" t="s">
        <v>28</v>
      </c>
      <c r="D24" s="9" t="s">
        <v>34</v>
      </c>
      <c r="E24" s="9" t="s">
        <v>39</v>
      </c>
      <c r="F24" s="9">
        <v>60</v>
      </c>
      <c r="G24" s="9">
        <v>500</v>
      </c>
      <c r="H24" s="9">
        <v>30000</v>
      </c>
      <c r="I24" s="9" t="s">
        <v>43</v>
      </c>
    </row>
    <row r="25" spans="1:9" x14ac:dyDescent="0.3">
      <c r="A25" s="15">
        <v>43429</v>
      </c>
      <c r="B25" s="9" t="s">
        <v>20</v>
      </c>
      <c r="C25" s="9" t="s">
        <v>35</v>
      </c>
      <c r="D25" s="9" t="s">
        <v>36</v>
      </c>
      <c r="E25" s="9" t="s">
        <v>46</v>
      </c>
      <c r="F25" s="9">
        <v>96</v>
      </c>
      <c r="G25" s="9">
        <v>58.5</v>
      </c>
      <c r="H25" s="9">
        <v>5616</v>
      </c>
      <c r="I25" s="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activeCell="F15" sqref="F15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1F1C-A61A-406B-B7D9-1BA8829F7B65}">
  <dimension ref="A1:I12"/>
  <sheetViews>
    <sheetView zoomScale="175" zoomScaleNormal="175" workbookViewId="0">
      <selection activeCell="G10" sqref="G10"/>
    </sheetView>
  </sheetViews>
  <sheetFormatPr defaultRowHeight="14.4" x14ac:dyDescent="0.3"/>
  <cols>
    <col min="1" max="1" width="9.109375" bestFit="1" customWidth="1"/>
    <col min="2" max="2" width="12.6640625" bestFit="1" customWidth="1"/>
    <col min="3" max="3" width="5.33203125" bestFit="1" customWidth="1"/>
    <col min="4" max="4" width="11" bestFit="1" customWidth="1"/>
    <col min="5" max="5" width="8.77734375" customWidth="1"/>
    <col min="6" max="6" width="13.21875" bestFit="1" customWidth="1"/>
    <col min="9" max="9" width="15.5546875" bestFit="1" customWidth="1"/>
  </cols>
  <sheetData>
    <row r="1" spans="1:9" x14ac:dyDescent="0.3">
      <c r="A1" s="25" t="s">
        <v>14</v>
      </c>
      <c r="B1" s="25" t="s">
        <v>15</v>
      </c>
      <c r="C1" s="25" t="s">
        <v>16</v>
      </c>
      <c r="D1" s="8" t="s">
        <v>17</v>
      </c>
      <c r="E1" s="25" t="s">
        <v>18</v>
      </c>
      <c r="F1" s="26" t="s">
        <v>19</v>
      </c>
    </row>
    <row r="2" spans="1:9" x14ac:dyDescent="0.3">
      <c r="A2" s="9" t="s">
        <v>34</v>
      </c>
      <c r="B2" s="9" t="s">
        <v>45</v>
      </c>
      <c r="C2" s="9">
        <v>95</v>
      </c>
      <c r="D2" s="9">
        <v>1198</v>
      </c>
      <c r="E2" s="9">
        <v>113810</v>
      </c>
      <c r="F2" s="10" t="s">
        <v>43</v>
      </c>
    </row>
    <row r="3" spans="1:9" x14ac:dyDescent="0.3">
      <c r="A3" s="9" t="s">
        <v>41</v>
      </c>
      <c r="B3" s="9" t="s">
        <v>45</v>
      </c>
      <c r="C3" s="9">
        <v>36</v>
      </c>
      <c r="D3" s="9">
        <v>1198</v>
      </c>
      <c r="E3" s="9">
        <v>43128</v>
      </c>
      <c r="F3" s="10" t="s">
        <v>33</v>
      </c>
    </row>
    <row r="4" spans="1:9" x14ac:dyDescent="0.3">
      <c r="A4" s="9" t="s">
        <v>22</v>
      </c>
      <c r="B4" s="9" t="s">
        <v>23</v>
      </c>
      <c r="C4" s="9">
        <v>27</v>
      </c>
      <c r="D4" s="9">
        <v>225</v>
      </c>
      <c r="E4" s="9">
        <v>6075</v>
      </c>
      <c r="F4" s="10" t="s">
        <v>24</v>
      </c>
    </row>
    <row r="5" spans="1:9" x14ac:dyDescent="0.3">
      <c r="A5" s="11" t="s">
        <v>26</v>
      </c>
      <c r="B5" s="11" t="s">
        <v>45</v>
      </c>
      <c r="C5" s="11">
        <v>56</v>
      </c>
      <c r="D5" s="11">
        <v>1198</v>
      </c>
      <c r="E5" s="11">
        <v>67088</v>
      </c>
      <c r="F5" s="12" t="s">
        <v>43</v>
      </c>
      <c r="G5" t="s">
        <v>26</v>
      </c>
      <c r="H5">
        <f>MATCH(G5,A2:A6,0)</f>
        <v>4</v>
      </c>
      <c r="I5" t="s">
        <v>54</v>
      </c>
    </row>
    <row r="6" spans="1:9" x14ac:dyDescent="0.3">
      <c r="A6" s="9" t="s">
        <v>42</v>
      </c>
      <c r="B6" s="9" t="s">
        <v>45</v>
      </c>
      <c r="C6" s="9">
        <v>75</v>
      </c>
      <c r="D6" s="9">
        <v>1198</v>
      </c>
      <c r="E6" s="9">
        <v>89850</v>
      </c>
      <c r="F6" s="10" t="s">
        <v>33</v>
      </c>
    </row>
    <row r="7" spans="1:9" x14ac:dyDescent="0.3">
      <c r="A7" s="9"/>
      <c r="B7" s="9"/>
      <c r="C7" s="9"/>
      <c r="D7" s="9"/>
      <c r="E7" s="9"/>
      <c r="F7" s="10"/>
      <c r="G7" t="s">
        <v>18</v>
      </c>
      <c r="H7">
        <f>MATCH(G7,A1:F1,0)</f>
        <v>5</v>
      </c>
      <c r="I7" t="s">
        <v>55</v>
      </c>
    </row>
    <row r="9" spans="1:9" x14ac:dyDescent="0.3">
      <c r="H9">
        <f>INDEX(A1:F6,3,3)</f>
        <v>36</v>
      </c>
    </row>
    <row r="10" spans="1:9" x14ac:dyDescent="0.3">
      <c r="E10" t="s">
        <v>26</v>
      </c>
      <c r="F10">
        <f>VLOOKUP(E10,A1:F6,5,FALSE)</f>
        <v>67088</v>
      </c>
    </row>
    <row r="11" spans="1:9" x14ac:dyDescent="0.3">
      <c r="H11" t="s">
        <v>17</v>
      </c>
    </row>
    <row r="12" spans="1:9" x14ac:dyDescent="0.3">
      <c r="G12" t="s">
        <v>22</v>
      </c>
      <c r="H12">
        <f>INDEX(A1:F6,MATCH(G12,A1:A6,0),MATCH(H11,A1:F1,0))</f>
        <v>225</v>
      </c>
    </row>
  </sheetData>
  <dataValidations count="2">
    <dataValidation type="list" allowBlank="1" showInputMessage="1" showErrorMessage="1" sqref="E10 G12" xr:uid="{C2FF0DE4-FFEB-40A3-90B2-34CF47904836}">
      <formula1>$A$2:$A$6</formula1>
    </dataValidation>
    <dataValidation type="list" allowBlank="1" showInputMessage="1" showErrorMessage="1" sqref="H11" xr:uid="{F106E82A-F4A0-4CFE-811A-83A437C4C094}">
      <formula1>$B$1:$F$1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50B-95A7-4FF3-BEC7-4B424575FC3A}">
  <dimension ref="A1:F11"/>
  <sheetViews>
    <sheetView zoomScale="175" zoomScaleNormal="175" workbookViewId="0">
      <selection activeCell="G9" sqref="G9"/>
    </sheetView>
  </sheetViews>
  <sheetFormatPr defaultRowHeight="14.4" x14ac:dyDescent="0.3"/>
  <cols>
    <col min="1" max="1" width="13.21875" bestFit="1" customWidth="1"/>
    <col min="2" max="2" width="9.109375" bestFit="1" customWidth="1"/>
    <col min="3" max="3" width="10.88671875" bestFit="1" customWidth="1"/>
    <col min="4" max="4" width="12.44140625" bestFit="1" customWidth="1"/>
    <col min="5" max="5" width="9.109375" bestFit="1" customWidth="1"/>
    <col min="6" max="6" width="10.88671875" bestFit="1" customWidth="1"/>
  </cols>
  <sheetData>
    <row r="1" spans="1:6" x14ac:dyDescent="0.3">
      <c r="A1" s="25" t="s">
        <v>14</v>
      </c>
      <c r="B1" s="9" t="s">
        <v>34</v>
      </c>
      <c r="C1" s="9" t="s">
        <v>41</v>
      </c>
      <c r="D1" s="9" t="s">
        <v>22</v>
      </c>
      <c r="E1" s="11" t="s">
        <v>26</v>
      </c>
      <c r="F1" s="9" t="s">
        <v>42</v>
      </c>
    </row>
    <row r="2" spans="1:6" x14ac:dyDescent="0.3">
      <c r="A2" s="25" t="s">
        <v>15</v>
      </c>
      <c r="B2" s="9" t="s">
        <v>45</v>
      </c>
      <c r="C2" s="9" t="s">
        <v>45</v>
      </c>
      <c r="D2" s="9" t="s">
        <v>23</v>
      </c>
      <c r="E2" s="11" t="s">
        <v>45</v>
      </c>
      <c r="F2" s="9" t="s">
        <v>45</v>
      </c>
    </row>
    <row r="3" spans="1:6" x14ac:dyDescent="0.3">
      <c r="A3" s="25" t="s">
        <v>16</v>
      </c>
      <c r="B3" s="9">
        <v>95</v>
      </c>
      <c r="C3" s="9">
        <v>36</v>
      </c>
      <c r="D3" s="9">
        <v>27</v>
      </c>
      <c r="E3" s="11">
        <v>56</v>
      </c>
      <c r="F3" s="9">
        <v>75</v>
      </c>
    </row>
    <row r="4" spans="1:6" x14ac:dyDescent="0.3">
      <c r="A4" s="8" t="s">
        <v>17</v>
      </c>
      <c r="B4" s="9">
        <v>1198</v>
      </c>
      <c r="C4" s="9">
        <v>1198</v>
      </c>
      <c r="D4" s="9">
        <v>225</v>
      </c>
      <c r="E4" s="11">
        <v>1198</v>
      </c>
      <c r="F4" s="9">
        <v>1198</v>
      </c>
    </row>
    <row r="5" spans="1:6" x14ac:dyDescent="0.3">
      <c r="A5" s="25" t="s">
        <v>18</v>
      </c>
      <c r="B5" s="9">
        <v>113810</v>
      </c>
      <c r="C5" s="9">
        <v>43128</v>
      </c>
      <c r="D5" s="9">
        <v>6075</v>
      </c>
      <c r="E5" s="11">
        <v>67088</v>
      </c>
      <c r="F5" s="9">
        <v>89850</v>
      </c>
    </row>
    <row r="6" spans="1:6" x14ac:dyDescent="0.3">
      <c r="A6" s="26" t="s">
        <v>19</v>
      </c>
      <c r="B6" s="10" t="s">
        <v>43</v>
      </c>
      <c r="C6" s="10" t="s">
        <v>33</v>
      </c>
      <c r="D6" s="10" t="s">
        <v>24</v>
      </c>
      <c r="E6" s="12" t="s">
        <v>43</v>
      </c>
      <c r="F6" s="10" t="s">
        <v>33</v>
      </c>
    </row>
    <row r="9" spans="1:6" x14ac:dyDescent="0.3">
      <c r="C9" t="s">
        <v>41</v>
      </c>
      <c r="D9" t="str">
        <f>HLOOKUP(C9,A1:F6,6,FALSE)</f>
        <v>DEBIT CARD</v>
      </c>
    </row>
    <row r="11" spans="1:6" x14ac:dyDescent="0.3">
      <c r="D11">
        <f>HLOOKUP(D1,A1:F6,4,FALSE)</f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 Date Formule</vt:lpstr>
      <vt:lpstr>Sheet3</vt:lpstr>
      <vt:lpstr>Some Advance Maths</vt:lpstr>
      <vt:lpstr>Sheet4</vt:lpstr>
      <vt:lpstr>Sheet5</vt:lpstr>
      <vt:lpstr>Sheet6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2026-04-06T05:44:58Z</dcterms:modified>
</cp:coreProperties>
</file>